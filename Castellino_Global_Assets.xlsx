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Ricardo\Business\Web Development\Ricardos investments\"/>
    </mc:Choice>
  </mc:AlternateContent>
  <xr:revisionPtr revIDLastSave="0" documentId="13_ncr:1_{E5286D80-2A8E-4FBE-A3FF-453365F0B161}" xr6:coauthVersionLast="47" xr6:coauthVersionMax="47" xr10:uidLastSave="{00000000-0000-0000-0000-000000000000}"/>
  <bookViews>
    <workbookView xWindow="-108" yWindow="-108" windowWidth="23256" windowHeight="12456" tabRatio="958" firstSheet="2" activeTab="2" xr2:uid="{46ABEFCC-E1E8-4397-81EB-95D032EBCAF8}"/>
  </bookViews>
  <sheets>
    <sheet name="Index" sheetId="1" state="hidden" r:id="rId1"/>
    <sheet name="Global Assets (2)" sheetId="39" state="hidden" r:id="rId2"/>
    <sheet name="Global Assets" sheetId="35" r:id="rId3"/>
    <sheet name="Formula" sheetId="42" r:id="rId4"/>
    <sheet name="Global Assets -old" sheetId="41" state="hidden" r:id="rId5"/>
    <sheet name="Sheet1" sheetId="36" state="hidden" r:id="rId6"/>
    <sheet name="USD to INR Forecast" sheetId="26" state="hidden" r:id="rId7"/>
    <sheet name="Buy USA Stocks India" sheetId="28"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8" i="35" l="1"/>
  <c r="F88" i="35"/>
  <c r="E88" i="35"/>
  <c r="G44" i="35"/>
  <c r="G43" i="35"/>
  <c r="F44" i="35"/>
  <c r="F43" i="35"/>
  <c r="E44" i="35"/>
  <c r="E43" i="35"/>
  <c r="G83" i="35"/>
  <c r="G42" i="35"/>
  <c r="G41" i="35"/>
  <c r="G40" i="35"/>
  <c r="G39" i="35"/>
  <c r="G38" i="35"/>
  <c r="G87" i="35"/>
  <c r="G86" i="35"/>
  <c r="G37" i="35"/>
  <c r="G36" i="35"/>
  <c r="G35" i="35"/>
  <c r="G34" i="35"/>
  <c r="G15" i="35"/>
  <c r="G14" i="35"/>
  <c r="G13" i="35"/>
  <c r="G12" i="35"/>
  <c r="G11" i="35"/>
  <c r="G10" i="35"/>
  <c r="G9" i="35"/>
  <c r="G8" i="35"/>
  <c r="G7" i="35"/>
  <c r="G6" i="35"/>
  <c r="G5" i="35"/>
  <c r="G4" i="35"/>
  <c r="G3" i="35"/>
  <c r="F42" i="35"/>
  <c r="F41" i="35"/>
  <c r="F40" i="35"/>
  <c r="F39" i="35"/>
  <c r="F38" i="35"/>
  <c r="F80" i="35"/>
  <c r="F79" i="35"/>
  <c r="F78" i="35"/>
  <c r="F77" i="35"/>
  <c r="F75" i="35"/>
  <c r="F74" i="35"/>
  <c r="F73" i="35"/>
  <c r="F72" i="35"/>
  <c r="F71" i="35"/>
  <c r="F70" i="35"/>
  <c r="F69" i="35"/>
  <c r="F68" i="35"/>
  <c r="F67" i="35"/>
  <c r="F66" i="35"/>
  <c r="F65" i="35"/>
  <c r="F64" i="35"/>
  <c r="F63" i="35"/>
  <c r="F62" i="35"/>
  <c r="F61" i="35"/>
  <c r="F60" i="35"/>
  <c r="F59" i="35"/>
  <c r="F58" i="35"/>
  <c r="F57" i="35"/>
  <c r="F56" i="35"/>
  <c r="F55" i="35"/>
  <c r="F37" i="35"/>
  <c r="F36" i="35"/>
  <c r="F35" i="35"/>
  <c r="F34" i="35"/>
  <c r="F33" i="35"/>
  <c r="G33" i="35" s="1"/>
  <c r="F32" i="35"/>
  <c r="G32" i="35" s="1"/>
  <c r="F31" i="35"/>
  <c r="G31" i="35" s="1"/>
  <c r="F30" i="35"/>
  <c r="G30" i="35" s="1"/>
  <c r="F29" i="35"/>
  <c r="G29" i="35" s="1"/>
  <c r="F28" i="35"/>
  <c r="G28" i="35" s="1"/>
  <c r="F27" i="35"/>
  <c r="G27" i="35" s="1"/>
  <c r="F26" i="35"/>
  <c r="G26" i="35" s="1"/>
  <c r="F25" i="35"/>
  <c r="G25" i="35" s="1"/>
  <c r="F24" i="35"/>
  <c r="G24" i="35" s="1"/>
  <c r="F23" i="35"/>
  <c r="G23" i="35" s="1"/>
  <c r="F22" i="35"/>
  <c r="G22" i="35" s="1"/>
  <c r="F21" i="35"/>
  <c r="G21" i="35" s="1"/>
  <c r="F19" i="35"/>
  <c r="G19" i="35" s="1"/>
  <c r="F18" i="35"/>
  <c r="G18" i="35" s="1"/>
  <c r="F17" i="35"/>
  <c r="G17" i="35" s="1"/>
  <c r="F16" i="35"/>
  <c r="G16" i="35" s="1"/>
  <c r="F49" i="35"/>
  <c r="F48" i="35"/>
  <c r="F47" i="35"/>
  <c r="F46" i="35"/>
  <c r="F45" i="35"/>
  <c r="F8" i="35"/>
  <c r="F7" i="35"/>
  <c r="F6" i="35"/>
  <c r="F5" i="35"/>
  <c r="F4" i="35"/>
  <c r="F3" i="35"/>
  <c r="E83" i="35"/>
  <c r="E80" i="35"/>
  <c r="E79" i="35"/>
  <c r="E78" i="35"/>
  <c r="E77" i="35"/>
  <c r="E75" i="35"/>
  <c r="E87" i="35"/>
  <c r="E86" i="35"/>
  <c r="E74" i="35"/>
  <c r="E73" i="35"/>
  <c r="E72" i="35"/>
  <c r="E71" i="35"/>
  <c r="E70" i="35"/>
  <c r="E69" i="35"/>
  <c r="E68" i="35"/>
  <c r="E67" i="35"/>
  <c r="E66" i="35"/>
  <c r="E65" i="35"/>
  <c r="E64" i="35"/>
  <c r="E63" i="35"/>
  <c r="E62" i="35"/>
  <c r="E61" i="35"/>
  <c r="E60" i="35"/>
  <c r="E59" i="35"/>
  <c r="E58" i="35"/>
  <c r="E57" i="35"/>
  <c r="E56" i="35"/>
  <c r="E55" i="35"/>
  <c r="E15" i="35"/>
  <c r="E14" i="35"/>
  <c r="E13" i="35"/>
  <c r="E12" i="35"/>
  <c r="E11" i="35"/>
  <c r="E10" i="35"/>
  <c r="E9" i="35"/>
  <c r="E49" i="35"/>
  <c r="E48" i="35"/>
  <c r="E47" i="35"/>
  <c r="E46" i="35"/>
  <c r="E45" i="35"/>
  <c r="F82" i="35"/>
  <c r="F81" i="35"/>
  <c r="F85" i="35"/>
  <c r="F84" i="35"/>
  <c r="H208" i="41"/>
  <c r="G168" i="41"/>
  <c r="G167" i="41"/>
  <c r="G161" i="41"/>
  <c r="G160" i="41"/>
  <c r="D71" i="41"/>
  <c r="E20" i="35"/>
  <c r="F20" i="35" s="1"/>
  <c r="G20" i="35" s="1"/>
  <c r="G49" i="41"/>
  <c r="F49" i="41"/>
  <c r="F53" i="41"/>
  <c r="G54" i="35"/>
  <c r="G53" i="35"/>
  <c r="G52" i="35"/>
  <c r="G51" i="35"/>
  <c r="G50" i="35"/>
  <c r="H264" i="41"/>
  <c r="H263" i="41"/>
  <c r="H265" i="41" s="1"/>
  <c r="E242" i="41"/>
  <c r="C241" i="41"/>
  <c r="D240" i="41"/>
  <c r="D238" i="41"/>
  <c r="C238" i="41"/>
  <c r="E233" i="41"/>
  <c r="E229" i="41"/>
  <c r="D229" i="41"/>
  <c r="C228" i="41"/>
  <c r="E232" i="41" s="1"/>
  <c r="D227" i="41"/>
  <c r="D225" i="41"/>
  <c r="C225" i="41"/>
  <c r="F223" i="41"/>
  <c r="F218" i="41"/>
  <c r="E218" i="41"/>
  <c r="D217" i="41"/>
  <c r="F222" i="41" s="1"/>
  <c r="E214" i="41"/>
  <c r="D214" i="41"/>
  <c r="H209" i="41"/>
  <c r="H204" i="41"/>
  <c r="H202" i="41"/>
  <c r="H200" i="41"/>
  <c r="H199" i="41"/>
  <c r="H197" i="41"/>
  <c r="H195" i="41"/>
  <c r="H194" i="41"/>
  <c r="F185" i="41"/>
  <c r="H184" i="41"/>
  <c r="G184" i="41"/>
  <c r="H183" i="41"/>
  <c r="H185" i="41" s="1"/>
  <c r="G183" i="41"/>
  <c r="G185" i="41" s="1"/>
  <c r="F176" i="41"/>
  <c r="H175" i="41"/>
  <c r="G175" i="41"/>
  <c r="H174" i="41"/>
  <c r="G174" i="41"/>
  <c r="H173" i="41"/>
  <c r="H176" i="41" s="1"/>
  <c r="G173" i="41"/>
  <c r="G176" i="41" s="1"/>
  <c r="F169" i="41"/>
  <c r="H168" i="41"/>
  <c r="H167" i="41"/>
  <c r="H169" i="41" s="1"/>
  <c r="G169" i="41"/>
  <c r="F162" i="41"/>
  <c r="H161" i="41"/>
  <c r="H160" i="41"/>
  <c r="H162" i="41" s="1"/>
  <c r="G162" i="41"/>
  <c r="F156" i="41"/>
  <c r="H155" i="41"/>
  <c r="H156" i="41" s="1"/>
  <c r="G155" i="41"/>
  <c r="G156" i="41" s="1"/>
  <c r="F152" i="41"/>
  <c r="H151" i="41"/>
  <c r="G151" i="41"/>
  <c r="H150" i="41"/>
  <c r="H152" i="41" s="1"/>
  <c r="G150" i="41"/>
  <c r="G152" i="41" s="1"/>
  <c r="F146" i="41"/>
  <c r="F145" i="41"/>
  <c r="F139" i="41"/>
  <c r="H138" i="41"/>
  <c r="G138" i="41"/>
  <c r="H137" i="41"/>
  <c r="G137" i="41"/>
  <c r="H136" i="41"/>
  <c r="G136" i="41"/>
  <c r="H135" i="41"/>
  <c r="G135" i="41"/>
  <c r="H134" i="41"/>
  <c r="G134" i="41"/>
  <c r="H133" i="41"/>
  <c r="H139" i="41" s="1"/>
  <c r="G133" i="41"/>
  <c r="G139" i="41" s="1"/>
  <c r="F127" i="41"/>
  <c r="H126" i="41"/>
  <c r="G126" i="41"/>
  <c r="H125" i="41"/>
  <c r="H127" i="41" s="1"/>
  <c r="G125" i="41"/>
  <c r="G127" i="41" s="1"/>
  <c r="F121" i="41"/>
  <c r="H120" i="41"/>
  <c r="H121" i="41" s="1"/>
  <c r="G120" i="41"/>
  <c r="G121" i="41" s="1"/>
  <c r="F117" i="41"/>
  <c r="H116" i="41"/>
  <c r="G116" i="41"/>
  <c r="H115" i="41"/>
  <c r="G115" i="41"/>
  <c r="H114" i="41"/>
  <c r="G114" i="41"/>
  <c r="H113" i="41"/>
  <c r="G113" i="41"/>
  <c r="H112" i="41"/>
  <c r="G112" i="41"/>
  <c r="H111" i="41"/>
  <c r="H117" i="41" s="1"/>
  <c r="G111" i="41"/>
  <c r="G117" i="41" s="1"/>
  <c r="F108" i="41"/>
  <c r="H107" i="41"/>
  <c r="G107" i="41"/>
  <c r="H106" i="41"/>
  <c r="G106" i="41"/>
  <c r="H105" i="41"/>
  <c r="G105" i="41"/>
  <c r="H104" i="41"/>
  <c r="G104" i="41"/>
  <c r="H103" i="41"/>
  <c r="H108" i="41" s="1"/>
  <c r="G103" i="41"/>
  <c r="G108" i="41" s="1"/>
  <c r="F100" i="41"/>
  <c r="H99" i="41"/>
  <c r="G99" i="41"/>
  <c r="H98" i="41"/>
  <c r="G98" i="41"/>
  <c r="H97" i="41"/>
  <c r="G97" i="41"/>
  <c r="H96" i="41"/>
  <c r="G96" i="41"/>
  <c r="H95" i="41"/>
  <c r="G95" i="41"/>
  <c r="H94" i="41"/>
  <c r="G94" i="41"/>
  <c r="H93" i="41"/>
  <c r="G93" i="41"/>
  <c r="H92" i="41"/>
  <c r="H100" i="41" s="1"/>
  <c r="G92" i="41"/>
  <c r="G100" i="41" s="1"/>
  <c r="D79" i="41"/>
  <c r="F78" i="41"/>
  <c r="F79" i="41" s="1"/>
  <c r="E78" i="41"/>
  <c r="E79" i="41" s="1"/>
  <c r="D75" i="41"/>
  <c r="F74" i="41"/>
  <c r="F75" i="41" s="1"/>
  <c r="E74" i="41"/>
  <c r="E75" i="41" s="1"/>
  <c r="E70" i="41"/>
  <c r="F70" i="41" s="1"/>
  <c r="E69" i="41"/>
  <c r="F69" i="41" s="1"/>
  <c r="E68" i="41"/>
  <c r="F68" i="41" s="1"/>
  <c r="E67" i="41"/>
  <c r="F67" i="41" s="1"/>
  <c r="E66" i="41"/>
  <c r="E64" i="41"/>
  <c r="D64" i="41"/>
  <c r="F63" i="41"/>
  <c r="G63" i="41" s="1"/>
  <c r="H63" i="41" s="1"/>
  <c r="F62" i="41"/>
  <c r="G62" i="41" s="1"/>
  <c r="H62" i="41" s="1"/>
  <c r="F61" i="41"/>
  <c r="G61" i="41" s="1"/>
  <c r="H61" i="41" s="1"/>
  <c r="F60" i="41"/>
  <c r="G60" i="41" s="1"/>
  <c r="H60" i="41" s="1"/>
  <c r="F59" i="41"/>
  <c r="G59" i="41" s="1"/>
  <c r="H59" i="41" s="1"/>
  <c r="F58" i="41"/>
  <c r="E52" i="41"/>
  <c r="G52" i="41" s="1"/>
  <c r="E51" i="41"/>
  <c r="G50" i="41"/>
  <c r="F50" i="41"/>
  <c r="G48" i="41"/>
  <c r="F48" i="41"/>
  <c r="G47" i="41"/>
  <c r="F47" i="41"/>
  <c r="G46" i="41"/>
  <c r="F46" i="41"/>
  <c r="D28" i="41"/>
  <c r="E27" i="41"/>
  <c r="F27" i="41" s="1"/>
  <c r="E26" i="41"/>
  <c r="F26" i="41" s="1"/>
  <c r="E25" i="41"/>
  <c r="F25" i="41" s="1"/>
  <c r="E24" i="41"/>
  <c r="F24" i="41" s="1"/>
  <c r="E23" i="41"/>
  <c r="G20" i="41"/>
  <c r="H20" i="41" s="1"/>
  <c r="D20" i="41"/>
  <c r="F19" i="41"/>
  <c r="E19" i="41"/>
  <c r="F18" i="41"/>
  <c r="E18" i="41"/>
  <c r="F17" i="41"/>
  <c r="E17" i="41"/>
  <c r="F16" i="41"/>
  <c r="E16" i="41"/>
  <c r="F15" i="41"/>
  <c r="F20" i="41" s="1"/>
  <c r="E15" i="41"/>
  <c r="E20" i="41" s="1"/>
  <c r="D11" i="41"/>
  <c r="F10" i="41"/>
  <c r="E10" i="41"/>
  <c r="F9" i="41"/>
  <c r="E9" i="41"/>
  <c r="F8" i="41"/>
  <c r="E8" i="41"/>
  <c r="F7" i="41"/>
  <c r="E7" i="41"/>
  <c r="F6" i="41"/>
  <c r="E6" i="41"/>
  <c r="F5" i="41"/>
  <c r="F11" i="41" s="1"/>
  <c r="E5" i="41"/>
  <c r="E11" i="41" s="1"/>
  <c r="J237" i="39"/>
  <c r="H236" i="39"/>
  <c r="H235" i="39"/>
  <c r="H237" i="39" s="1"/>
  <c r="P223" i="39"/>
  <c r="L222" i="39"/>
  <c r="F222" i="39"/>
  <c r="P218" i="39"/>
  <c r="N217" i="39"/>
  <c r="P222" i="39" s="1"/>
  <c r="L217" i="39"/>
  <c r="K217" i="39"/>
  <c r="F217" i="39"/>
  <c r="E217" i="39"/>
  <c r="O216" i="39"/>
  <c r="J216" i="39"/>
  <c r="L221" i="39" s="1"/>
  <c r="D216" i="39"/>
  <c r="F221" i="39" s="1"/>
  <c r="K215" i="39"/>
  <c r="O214" i="39"/>
  <c r="N214" i="39"/>
  <c r="K213" i="39"/>
  <c r="J213" i="39"/>
  <c r="E213" i="39"/>
  <c r="D213" i="39"/>
  <c r="H208" i="39"/>
  <c r="H203" i="39"/>
  <c r="H201" i="39"/>
  <c r="H199" i="39"/>
  <c r="H198" i="39"/>
  <c r="H196" i="39"/>
  <c r="H194" i="39"/>
  <c r="H193" i="39"/>
  <c r="H211" i="39" s="1"/>
  <c r="H184" i="39"/>
  <c r="F184" i="39"/>
  <c r="H183" i="39"/>
  <c r="G183" i="39"/>
  <c r="H182" i="39"/>
  <c r="G182" i="39"/>
  <c r="G184" i="39" s="1"/>
  <c r="F175" i="39"/>
  <c r="H174" i="39"/>
  <c r="G174" i="39"/>
  <c r="H173" i="39"/>
  <c r="G173" i="39"/>
  <c r="H172" i="39"/>
  <c r="H175" i="39" s="1"/>
  <c r="G172" i="39"/>
  <c r="G175" i="39" s="1"/>
  <c r="F168" i="39"/>
  <c r="H167" i="39"/>
  <c r="G167" i="39"/>
  <c r="H166" i="39"/>
  <c r="H168" i="39" s="1"/>
  <c r="G166" i="39"/>
  <c r="G168" i="39" s="1"/>
  <c r="F161" i="39"/>
  <c r="H160" i="39"/>
  <c r="G160" i="39"/>
  <c r="H159" i="39"/>
  <c r="H161" i="39" s="1"/>
  <c r="G159" i="39"/>
  <c r="G161" i="39" s="1"/>
  <c r="F155" i="39"/>
  <c r="H154" i="39"/>
  <c r="H155" i="39" s="1"/>
  <c r="G154" i="39"/>
  <c r="G155" i="39" s="1"/>
  <c r="F151" i="39"/>
  <c r="H150" i="39"/>
  <c r="G150" i="39"/>
  <c r="H149" i="39"/>
  <c r="H151" i="39" s="1"/>
  <c r="G149" i="39"/>
  <c r="G151" i="39" s="1"/>
  <c r="F145" i="39"/>
  <c r="F144" i="39"/>
  <c r="F138" i="39"/>
  <c r="H137" i="39"/>
  <c r="G137" i="39"/>
  <c r="H136" i="39"/>
  <c r="G136" i="39"/>
  <c r="H135" i="39"/>
  <c r="G135" i="39"/>
  <c r="H134" i="39"/>
  <c r="G134" i="39"/>
  <c r="H133" i="39"/>
  <c r="G133" i="39"/>
  <c r="H132" i="39"/>
  <c r="H138" i="39" s="1"/>
  <c r="G132" i="39"/>
  <c r="G138" i="39" s="1"/>
  <c r="F126" i="39"/>
  <c r="H125" i="39"/>
  <c r="G125" i="39"/>
  <c r="H124" i="39"/>
  <c r="H126" i="39" s="1"/>
  <c r="G124" i="39"/>
  <c r="G126" i="39" s="1"/>
  <c r="F120" i="39"/>
  <c r="H119" i="39"/>
  <c r="H120" i="39" s="1"/>
  <c r="G119" i="39"/>
  <c r="G120" i="39" s="1"/>
  <c r="F116" i="39"/>
  <c r="H115" i="39"/>
  <c r="G115" i="39"/>
  <c r="H114" i="39"/>
  <c r="G114" i="39"/>
  <c r="H113" i="39"/>
  <c r="G113" i="39"/>
  <c r="H112" i="39"/>
  <c r="G112" i="39"/>
  <c r="H111" i="39"/>
  <c r="G111" i="39"/>
  <c r="H110" i="39"/>
  <c r="H116" i="39" s="1"/>
  <c r="G110" i="39"/>
  <c r="G116" i="39" s="1"/>
  <c r="F107" i="39"/>
  <c r="H106" i="39"/>
  <c r="G106" i="39"/>
  <c r="H105" i="39"/>
  <c r="G105" i="39"/>
  <c r="H104" i="39"/>
  <c r="G104" i="39"/>
  <c r="H103" i="39"/>
  <c r="H107" i="39" s="1"/>
  <c r="G103" i="39"/>
  <c r="G107" i="39" s="1"/>
  <c r="H102" i="39"/>
  <c r="G102" i="39"/>
  <c r="F99" i="39"/>
  <c r="H98" i="39"/>
  <c r="G98" i="39"/>
  <c r="H97" i="39"/>
  <c r="G97" i="39"/>
  <c r="H96" i="39"/>
  <c r="G96" i="39"/>
  <c r="H95" i="39"/>
  <c r="G95" i="39"/>
  <c r="H94" i="39"/>
  <c r="G94" i="39"/>
  <c r="H93" i="39"/>
  <c r="G93" i="39"/>
  <c r="H92" i="39"/>
  <c r="G92" i="39"/>
  <c r="H91" i="39"/>
  <c r="H99" i="39" s="1"/>
  <c r="G91" i="39"/>
  <c r="G99" i="39" s="1"/>
  <c r="F77" i="39"/>
  <c r="H76" i="39"/>
  <c r="H77" i="39" s="1"/>
  <c r="G76" i="39"/>
  <c r="G77" i="39" s="1"/>
  <c r="F73" i="39"/>
  <c r="H72" i="39"/>
  <c r="H73" i="39" s="1"/>
  <c r="G72" i="39"/>
  <c r="G73" i="39" s="1"/>
  <c r="G68" i="39"/>
  <c r="H68" i="39" s="1"/>
  <c r="G67" i="39"/>
  <c r="H67" i="39" s="1"/>
  <c r="G66" i="39"/>
  <c r="H66" i="39" s="1"/>
  <c r="G65" i="39"/>
  <c r="H65" i="39" s="1"/>
  <c r="G64" i="39"/>
  <c r="G62" i="39"/>
  <c r="F62" i="39"/>
  <c r="F69" i="39" s="1"/>
  <c r="H61" i="39"/>
  <c r="I61" i="39" s="1"/>
  <c r="J61" i="39" s="1"/>
  <c r="H60" i="39"/>
  <c r="I60" i="39" s="1"/>
  <c r="J60" i="39" s="1"/>
  <c r="H59" i="39"/>
  <c r="I59" i="39" s="1"/>
  <c r="J59" i="39" s="1"/>
  <c r="H58" i="39"/>
  <c r="I58" i="39" s="1"/>
  <c r="J58" i="39" s="1"/>
  <c r="H57" i="39"/>
  <c r="I57" i="39" s="1"/>
  <c r="J57" i="39" s="1"/>
  <c r="H56" i="39"/>
  <c r="F52" i="39"/>
  <c r="F51" i="39"/>
  <c r="H51" i="39" s="1"/>
  <c r="F50" i="39"/>
  <c r="H50" i="39" s="1"/>
  <c r="H49" i="39"/>
  <c r="G49" i="39"/>
  <c r="H48" i="39"/>
  <c r="G48" i="39"/>
  <c r="H47" i="39"/>
  <c r="G47" i="39"/>
  <c r="H46" i="39"/>
  <c r="G46" i="39"/>
  <c r="H45" i="39"/>
  <c r="H52" i="39" s="1"/>
  <c r="G45" i="39"/>
  <c r="G52" i="39" s="1"/>
  <c r="F27" i="39"/>
  <c r="G26" i="39"/>
  <c r="H26" i="39" s="1"/>
  <c r="G25" i="39"/>
  <c r="H25" i="39" s="1"/>
  <c r="G24" i="39"/>
  <c r="H24" i="39" s="1"/>
  <c r="G23" i="39"/>
  <c r="H23" i="39" s="1"/>
  <c r="G22" i="39"/>
  <c r="I19" i="39"/>
  <c r="J19" i="39" s="1"/>
  <c r="F19" i="39"/>
  <c r="H18" i="39"/>
  <c r="G18" i="39"/>
  <c r="H17" i="39"/>
  <c r="G17" i="39"/>
  <c r="H16" i="39"/>
  <c r="G16" i="39"/>
  <c r="H15" i="39"/>
  <c r="G15" i="39"/>
  <c r="H14" i="39"/>
  <c r="H19" i="39" s="1"/>
  <c r="G14" i="39"/>
  <c r="G19" i="39" s="1"/>
  <c r="F11" i="39"/>
  <c r="H10" i="39"/>
  <c r="G10" i="39"/>
  <c r="H9" i="39"/>
  <c r="G9" i="39"/>
  <c r="H8" i="39"/>
  <c r="G8" i="39"/>
  <c r="H7" i="39"/>
  <c r="G7" i="39"/>
  <c r="H6" i="39"/>
  <c r="G6" i="39"/>
  <c r="H5" i="39"/>
  <c r="H11" i="39" s="1"/>
  <c r="G5" i="39"/>
  <c r="G11" i="39" s="1"/>
  <c r="C176" i="36"/>
  <c r="C208" i="36"/>
  <c r="F54" i="35" l="1"/>
  <c r="E54" i="35"/>
  <c r="F53" i="35"/>
  <c r="E53" i="35"/>
  <c r="F52" i="35"/>
  <c r="E52" i="35"/>
  <c r="F51" i="35"/>
  <c r="E51" i="35"/>
  <c r="F50" i="35"/>
  <c r="E50" i="35"/>
  <c r="G82" i="35"/>
  <c r="E82" i="35"/>
  <c r="G81" i="35"/>
  <c r="E81" i="35"/>
  <c r="G85" i="35"/>
  <c r="E85" i="35"/>
  <c r="G84" i="35"/>
  <c r="E84" i="35"/>
  <c r="H212" i="41"/>
  <c r="G51" i="41"/>
  <c r="G53" i="41" s="1"/>
  <c r="E53" i="41"/>
  <c r="D243" i="41"/>
  <c r="D244" i="41"/>
  <c r="D231" i="41"/>
  <c r="D230" i="41"/>
  <c r="D228" i="41" s="1"/>
  <c r="E220" i="41"/>
  <c r="E219" i="41"/>
  <c r="E217" i="41" s="1"/>
  <c r="H146" i="41"/>
  <c r="G146" i="41"/>
  <c r="H145" i="41"/>
  <c r="H147" i="41" s="1"/>
  <c r="G145" i="41"/>
  <c r="G147" i="41" s="1"/>
  <c r="F147" i="41"/>
  <c r="F66" i="41"/>
  <c r="F71" i="41" s="1"/>
  <c r="E71" i="41"/>
  <c r="F64" i="41"/>
  <c r="D82" i="41" s="1"/>
  <c r="G58" i="41"/>
  <c r="G27" i="41"/>
  <c r="H27" i="41"/>
  <c r="D37" i="41"/>
  <c r="E37" i="41" s="1"/>
  <c r="F37" i="41" s="1"/>
  <c r="G26" i="41"/>
  <c r="H26" i="41"/>
  <c r="D36" i="41"/>
  <c r="E36" i="41" s="1"/>
  <c r="F36" i="41" s="1"/>
  <c r="G25" i="41"/>
  <c r="H25" i="41"/>
  <c r="D35" i="41"/>
  <c r="E35" i="41" s="1"/>
  <c r="F35" i="41" s="1"/>
  <c r="G24" i="41"/>
  <c r="H24" i="41"/>
  <c r="D34" i="41"/>
  <c r="E34" i="41" s="1"/>
  <c r="F34" i="41" s="1"/>
  <c r="F23" i="41"/>
  <c r="E28" i="41"/>
  <c r="L237" i="39"/>
  <c r="K237" i="39"/>
  <c r="O220" i="39"/>
  <c r="O219" i="39"/>
  <c r="K219" i="39"/>
  <c r="K218" i="39"/>
  <c r="K216" i="39" s="1"/>
  <c r="E219" i="39"/>
  <c r="E218" i="39"/>
  <c r="E216" i="39" s="1"/>
  <c r="I211" i="39"/>
  <c r="J211" i="39"/>
  <c r="G145" i="39"/>
  <c r="H145" i="39"/>
  <c r="F146" i="39"/>
  <c r="G144" i="39"/>
  <c r="G146" i="39" s="1"/>
  <c r="H144" i="39"/>
  <c r="H146" i="39" s="1"/>
  <c r="G69" i="39"/>
  <c r="H64" i="39"/>
  <c r="H69" i="39" s="1"/>
  <c r="H62" i="39"/>
  <c r="F80" i="39" s="1"/>
  <c r="I56" i="39"/>
  <c r="J26" i="39"/>
  <c r="I26" i="39"/>
  <c r="F36" i="39"/>
  <c r="G36" i="39" s="1"/>
  <c r="H36" i="39" s="1"/>
  <c r="J25" i="39"/>
  <c r="F35" i="39"/>
  <c r="G35" i="39" s="1"/>
  <c r="H35" i="39" s="1"/>
  <c r="I25" i="39"/>
  <c r="J24" i="39"/>
  <c r="I24" i="39"/>
  <c r="F34" i="39"/>
  <c r="G34" i="39" s="1"/>
  <c r="H34" i="39" s="1"/>
  <c r="J23" i="39"/>
  <c r="I23" i="39"/>
  <c r="F33" i="39"/>
  <c r="G33" i="39" s="1"/>
  <c r="H33" i="39" s="1"/>
  <c r="H22" i="39"/>
  <c r="G27" i="39"/>
  <c r="I212" i="41" l="1"/>
  <c r="J212" i="41"/>
  <c r="H58" i="41"/>
  <c r="H64" i="41" s="1"/>
  <c r="F82" i="41" s="1"/>
  <c r="G64" i="41"/>
  <c r="E82" i="41" s="1"/>
  <c r="H23" i="41"/>
  <c r="H28" i="41" s="1"/>
  <c r="G23" i="41"/>
  <c r="G28" i="41" s="1"/>
  <c r="F28" i="41"/>
  <c r="D33" i="41"/>
  <c r="J56" i="39"/>
  <c r="J62" i="39" s="1"/>
  <c r="H80" i="39" s="1"/>
  <c r="I62" i="39"/>
  <c r="G80" i="39" s="1"/>
  <c r="J22" i="39"/>
  <c r="J27" i="39" s="1"/>
  <c r="H27" i="39"/>
  <c r="I22" i="39"/>
  <c r="I27" i="39" s="1"/>
  <c r="F32" i="39"/>
  <c r="D38" i="41" l="1"/>
  <c r="F255" i="41" s="1"/>
  <c r="E33" i="41"/>
  <c r="G32" i="39"/>
  <c r="F37" i="39"/>
  <c r="F227" i="39" s="1"/>
  <c r="F33" i="41" l="1"/>
  <c r="F38" i="41" s="1"/>
  <c r="D255" i="41" s="1"/>
  <c r="E38" i="41"/>
  <c r="E255" i="41" s="1"/>
  <c r="G37" i="39"/>
  <c r="E227" i="39" s="1"/>
  <c r="H32" i="39"/>
  <c r="H37" i="39" s="1"/>
  <c r="D2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ricar</author>
  </authors>
  <commentList>
    <comment ref="C54" authorId="0" shapeId="0" xr:uid="{75B15677-96CA-4720-9E6A-CC0414D9532D}">
      <text>
        <r>
          <rPr>
            <b/>
            <sz val="9"/>
            <color indexed="81"/>
            <rFont val="MS P ゴシック"/>
            <family val="3"/>
            <charset val="128"/>
          </rPr>
          <t>ricar:</t>
        </r>
        <r>
          <rPr>
            <sz val="9"/>
            <color indexed="81"/>
            <rFont val="MS P ゴシック"/>
            <family val="3"/>
            <charset val="128"/>
          </rPr>
          <t xml:space="preserve">
 If the rollover rate is positive, it's a gain for the investor. If the rollover rate is negative, it's a cost for the investor.</t>
        </r>
      </text>
    </comment>
  </commentList>
</comments>
</file>

<file path=xl/sharedStrings.xml><?xml version="1.0" encoding="utf-8"?>
<sst xmlns="http://schemas.openxmlformats.org/spreadsheetml/2006/main" count="1332" uniqueCount="391">
  <si>
    <t>Login Credentials (URL, User, Password, PIN)</t>
    <phoneticPr fontId="2"/>
  </si>
  <si>
    <t>SBI Securities (Tracking, Sell, Buy)</t>
    <phoneticPr fontId="2"/>
  </si>
  <si>
    <t>Ricardo`s Demise</t>
    <phoneticPr fontId="2"/>
  </si>
  <si>
    <t>Kaori`s Demise</t>
    <phoneticPr fontId="2"/>
  </si>
  <si>
    <t>Tanaka Kikinzoku</t>
    <phoneticPr fontId="2"/>
  </si>
  <si>
    <t>Crypto Currency</t>
    <phoneticPr fontId="2"/>
  </si>
  <si>
    <t>NRO, NRE</t>
    <phoneticPr fontId="2"/>
  </si>
  <si>
    <t>Life Insurance Policies</t>
    <phoneticPr fontId="2"/>
  </si>
  <si>
    <t>India</t>
    <phoneticPr fontId="2"/>
  </si>
  <si>
    <t>Japan</t>
    <phoneticPr fontId="2"/>
  </si>
  <si>
    <t>Banks, Cash</t>
    <phoneticPr fontId="2"/>
  </si>
  <si>
    <t>Fixed Deposits</t>
    <phoneticPr fontId="2"/>
  </si>
  <si>
    <t>Passive Income</t>
    <phoneticPr fontId="2"/>
  </si>
  <si>
    <t>Real Estate</t>
    <phoneticPr fontId="2"/>
  </si>
  <si>
    <t>Stamps</t>
    <phoneticPr fontId="2"/>
  </si>
  <si>
    <t>Loans</t>
    <phoneticPr fontId="2"/>
  </si>
  <si>
    <t>Taken</t>
    <phoneticPr fontId="2"/>
  </si>
  <si>
    <t>Given</t>
    <phoneticPr fontId="2"/>
  </si>
  <si>
    <t>NISA</t>
    <phoneticPr fontId="2"/>
  </si>
  <si>
    <t>Old Nisa</t>
    <phoneticPr fontId="2"/>
  </si>
  <si>
    <t>New Nisa</t>
    <phoneticPr fontId="2"/>
  </si>
  <si>
    <t>Tsumitate Nisa</t>
    <phoneticPr fontId="2"/>
  </si>
  <si>
    <r>
      <t>Japanese Pension (</t>
    </r>
    <r>
      <rPr>
        <b/>
        <sz val="11"/>
        <color indexed="8"/>
        <rFont val="Yu Gothic"/>
        <family val="3"/>
        <charset val="128"/>
      </rPr>
      <t>年金）</t>
    </r>
    <rPh sb="18" eb="20">
      <t>ネンキン</t>
    </rPh>
    <phoneticPr fontId="2"/>
  </si>
  <si>
    <r>
      <t>Souzokuzei (</t>
    </r>
    <r>
      <rPr>
        <b/>
        <sz val="11"/>
        <color indexed="8"/>
        <rFont val="Yu Gothic"/>
        <family val="3"/>
        <charset val="128"/>
      </rPr>
      <t>相続税</t>
    </r>
    <r>
      <rPr>
        <b/>
        <sz val="11"/>
        <color indexed="8"/>
        <rFont val="Century Gothic"/>
        <family val="2"/>
      </rPr>
      <t>)</t>
    </r>
    <rPh sb="12" eb="15">
      <t>ソウゾクゼイ</t>
    </rPh>
    <phoneticPr fontId="2"/>
  </si>
  <si>
    <t xml:space="preserve">Global Assets </t>
    <phoneticPr fontId="2"/>
  </si>
  <si>
    <t>Summary</t>
    <phoneticPr fontId="2"/>
  </si>
  <si>
    <t>Details</t>
    <phoneticPr fontId="2"/>
  </si>
  <si>
    <t>Current Assets</t>
    <phoneticPr fontId="2"/>
  </si>
  <si>
    <t>Wallets</t>
    <phoneticPr fontId="2"/>
  </si>
  <si>
    <t>Buy and Sell</t>
    <phoneticPr fontId="2"/>
  </si>
  <si>
    <t>Educational Videos</t>
    <phoneticPr fontId="2"/>
  </si>
  <si>
    <t>Tenant Information</t>
    <phoneticPr fontId="2"/>
  </si>
  <si>
    <t>Mutual Funds</t>
    <phoneticPr fontId="2"/>
  </si>
  <si>
    <t>Physical Gold India</t>
    <phoneticPr fontId="2"/>
  </si>
  <si>
    <t xml:space="preserve">USD to INR Forecast </t>
    <phoneticPr fontId="7"/>
  </si>
  <si>
    <t>https://capex.com/en/overview/usd-to-inr-forecast</t>
  </si>
  <si>
    <t>https://www.bankbazaar.com/currency-exchange/historical-value-of-1-usd-in-inr.html</t>
  </si>
  <si>
    <t>Factors that have led to the depreciation of Indian Rupees with respect to the US dollar</t>
  </si>
  <si>
    <t>Given below are the reasons due to which INR has depreciated with respect to USD:</t>
  </si>
  <si>
    <t>After India attained its independence in 1947, the Indian Rupee started to be compared to the US dollar. Since there were no credits or debits on the national balance sheet, Re.1 could then be regarded as equal to $1. However, the British pound where £1 was equal to Rs.13 served as the basis for the value of Indian currency, it played a role in the depreciation of the rupee. Furthermore, this pricing of rupee versus the British pound persisted because there was no accepted method of currency comparison until 1944.</t>
  </si>
  <si>
    <t>The value of the Indian Rupee back in 1947 was 4.76 and stayed consistent till 1966. However, since 1950, the economy of India witnessed a decline, which was due to the country’s credit standing on the global market. Apart from that, the 1962 India-China war, the subsequent India-Pakistan war in 1965, and the 1966 drought all contributed to the situation's deterioration. By 1967, all of them had changed the currency rate from $1 to Rs.7.50.</t>
  </si>
  <si>
    <t>The value of the rupee also suffered in 1974 as its value fell to 8.10 due to the oil shock in 1973 when OAPEC or the Organisation of Arab Petroleum Exporting Countries decided to reduce proportion. India had to borrow foreign currency to deal with the situation and the ensuing political turmoil. The value of the Indian currency decreased as a result. The exchange rate declined during the course of the 1980s, peaking at 17.50 in the 1990s, down from $1 USD to Rs.7.50 in 1967. </t>
  </si>
  <si>
    <t>India’s economy suffered back in 1990 as the fiscal deficit decreased by 7.8% of the GDP and India was on the verge of being branded a defaulter in the Indian market. This had a significant impact on the value of the rupee. India had to make their export cheaper and import dearer.</t>
  </si>
  <si>
    <t>The economic crisis in 1990 played a role in 1992 when the rupee devalued and the exchange rate came to S1 equal to Rs.25.92. Since then, the value of the Indian rupee has started to decline, and it is currently worth Rs.74.57. The dollar price was Rs.45.32 in 2004 and rose to Rs.62.33 over the following ten years. The highest rate of Dollar to rupee ever was recorded in February of 2016, totalling Rs.68.80.</t>
  </si>
  <si>
    <t>The value of the India rupee also gets affected due to any changes in the Indian rupee. As the value of crude oil in the global markets rises, the value of the Indian rupee drops and vice-versa. Other factors that have led to the value of the rupee depreciating is due to the withdrawal of foreign investors from the Indian markets, increase in government debts which causes the investors to lose interest, subsequently leading to inflation. These factors can cause further drop in the value of Indian rupee.</t>
  </si>
  <si>
    <t>Factors that Impact Exchange Rates</t>
  </si>
  <si>
    <t>Some of the factors impacting the USD to INR exchange rate are as follows:</t>
  </si>
  <si>
    <r>
      <t> </t>
    </r>
    <r>
      <rPr>
        <b/>
        <sz val="10"/>
        <color indexed="62"/>
        <rFont val="Arial"/>
        <family val="2"/>
      </rPr>
      <t>Trade Balances</t>
    </r>
    <r>
      <rPr>
        <sz val="10"/>
        <color indexed="62"/>
        <rFont val="Arial"/>
        <family val="2"/>
      </rPr>
      <t>: The difference between a country's imports and exports, or trade balance, may affect the value of its currency. The currency can be strengthened by a trade surplus.</t>
    </r>
  </si>
  <si>
    <r>
      <t>Geopolitical Events</t>
    </r>
    <r>
      <rPr>
        <sz val="10"/>
        <color indexed="62"/>
        <rFont val="Arial"/>
        <family val="2"/>
      </rPr>
      <t>: The value of currencies and investor confidence can be impacted by international relations and political stability.</t>
    </r>
  </si>
  <si>
    <r>
      <t> </t>
    </r>
    <r>
      <rPr>
        <b/>
        <sz val="10"/>
        <color indexed="62"/>
        <rFont val="Arial"/>
        <family val="2"/>
      </rPr>
      <t>Inflation:</t>
    </r>
    <r>
      <rPr>
        <sz val="10"/>
        <color indexed="62"/>
        <rFont val="Arial"/>
        <family val="2"/>
      </rPr>
      <t> Elevated rates of inflation can erode a currency's buying power, which leads to its depreciation. Exchange rates are impacted when central banks utilise interest rates as a tool to control inflation.</t>
    </r>
  </si>
  <si>
    <r>
      <t>Foreign Direct Investment (FDI):</t>
    </r>
    <r>
      <rPr>
        <sz val="10"/>
        <color indexed="62"/>
        <rFont val="Arial"/>
        <family val="2"/>
      </rPr>
      <t> A country's currency may be impacted by how appealing it is to foreign investors. The currency may strengthen in response to higher FDI rates, but it may also weaken if the FDI rates are low.</t>
    </r>
  </si>
  <si>
    <r>
      <t>Interest Rates:</t>
    </r>
    <r>
      <rPr>
        <sz val="10"/>
        <color indexed="62"/>
        <rFont val="Arial"/>
        <family val="2"/>
      </rPr>
      <t> An economy's appeal to foreign investors increases with higher interest rates. Therefore, investors look for higher returns, which raises demand for the country's currency. Its value is strengthened by the increased demand, which makes it more valuable in relation to other currencies on the foreign exchange market.</t>
    </r>
  </si>
  <si>
    <t>FAQs on Value of 1 USD in INR since 1947</t>
  </si>
  <si>
    <t>1. Did Covid affect the value of rupee?</t>
  </si>
  <si>
    <t>Yes, the value of Covid was affected due to Covid.</t>
  </si>
  <si>
    <t>2. Did the Russia-Ukraine war affect the value of rupee?</t>
  </si>
  <si>
    <t>Yes, the Russia-Ukraine war resulted in the price of crude oil growing which resulted in the value of the Indian rupee falling.</t>
  </si>
  <si>
    <t>3. Can Indian rupee fall further?</t>
  </si>
  <si>
    <t>Yes, if inflation continues to grow, and due to any other unforeseen activities in the global markets, the value of rupee can depreciate further.</t>
  </si>
  <si>
    <t>4. How can the value of rupee grow?</t>
  </si>
  <si>
    <t>If India can bring down the unemployment rate, and bring down inflation, then the value of the Indian rupee can grow with respect to the US dollar.</t>
  </si>
  <si>
    <t>5. What currencies are considered to be safe?</t>
  </si>
  <si>
    <t>Due to their value, US dollars, Japanese Yen, Swiss Franc, etc. are considered to be safe and highly investable.</t>
  </si>
  <si>
    <t>if export &gt; import,   Trade Surplus</t>
    <phoneticPr fontId="7"/>
  </si>
  <si>
    <t>if export &lt; import,   Trade deficit</t>
    <phoneticPr fontId="7"/>
  </si>
  <si>
    <t>How can a countries Exchange rate decrease or become weak</t>
    <phoneticPr fontId="7"/>
  </si>
  <si>
    <t>Rising Inflation</t>
    <phoneticPr fontId="7"/>
  </si>
  <si>
    <t>Lowing of interest rate</t>
    <phoneticPr fontId="7"/>
  </si>
  <si>
    <t>Less Foerign Direct Investment flows</t>
    <phoneticPr fontId="7"/>
  </si>
  <si>
    <t>War or Political Instability</t>
    <phoneticPr fontId="7"/>
  </si>
  <si>
    <t>Increase in Trade Deficit or Decrease in Trade Surplus (Imports &gt; Exports)</t>
    <phoneticPr fontId="7"/>
  </si>
  <si>
    <t>Decrease in Umemployment</t>
    <phoneticPr fontId="7"/>
  </si>
  <si>
    <t>Increase in Fuel prices</t>
    <phoneticPr fontId="7"/>
  </si>
  <si>
    <t>Increase in Net Outflows out of the country</t>
    <phoneticPr fontId="7"/>
  </si>
  <si>
    <t>Decrease in Net Inflows intothe country</t>
    <phoneticPr fontId="7"/>
  </si>
  <si>
    <t>Decrease in Rollover rates</t>
    <phoneticPr fontId="7"/>
  </si>
  <si>
    <t>https://www.businesstoday.in/markets/market-commentary/story/trading-in-us-stocks-through-nse-ifsc-starts-today-10-things-you-should-know-324575-2022-03-03</t>
  </si>
  <si>
    <t>Top International Mutual Funds to Invest Online in 2024 through Indian Mutual Fund</t>
    <phoneticPr fontId="7"/>
  </si>
  <si>
    <t>https://www.smallcase.com/collections/best-international-mutual-funds/</t>
    <phoneticPr fontId="7"/>
  </si>
  <si>
    <t>Ricardo</t>
  </si>
  <si>
    <t>Kaori</t>
  </si>
  <si>
    <t>Bank of India</t>
  </si>
  <si>
    <t>Japan</t>
  </si>
  <si>
    <t>India</t>
  </si>
  <si>
    <t>HDFC Bank</t>
  </si>
  <si>
    <t>Crypto</t>
  </si>
  <si>
    <t>JPY</t>
  </si>
  <si>
    <t>INR</t>
  </si>
  <si>
    <t>Stock</t>
  </si>
  <si>
    <t>USD</t>
  </si>
  <si>
    <t>USA Stocks</t>
  </si>
  <si>
    <t>Rakuten</t>
  </si>
  <si>
    <t>DUST EXO LATEST　
DUST EXO NAYA ANTEI CHILLAR 1</t>
  </si>
  <si>
    <t>TRUST SAIFU</t>
  </si>
  <si>
    <t>DUST EXO NAYA SAIFU</t>
  </si>
  <si>
    <t>DUST EXO PITA BSTAR</t>
  </si>
  <si>
    <t>DUST EXO MENG LI</t>
  </si>
  <si>
    <t>DUST EXO 2021</t>
  </si>
  <si>
    <t>DUST EXO 2020</t>
  </si>
  <si>
    <t>Mom</t>
  </si>
  <si>
    <t>TOTAL</t>
  </si>
  <si>
    <t>Lions Plaza Hakusan</t>
  </si>
  <si>
    <t>Rate</t>
  </si>
  <si>
    <t>Real estate</t>
  </si>
  <si>
    <t>Poonam Residency</t>
  </si>
  <si>
    <t>Sunway Megapolis</t>
  </si>
  <si>
    <t>Osia Maple Leaf</t>
  </si>
  <si>
    <t>Venusta Classic</t>
  </si>
  <si>
    <t>Altamonte</t>
  </si>
  <si>
    <t>Osia Arcade</t>
  </si>
  <si>
    <t>Capital repayment</t>
  </si>
  <si>
    <t>Ober Grandious</t>
  </si>
  <si>
    <t>Phoenix Waseda</t>
  </si>
  <si>
    <t>Urban Hills Waseda</t>
  </si>
  <si>
    <t>Castle mansion</t>
  </si>
  <si>
    <t xml:space="preserve">Current Sale Price </t>
  </si>
  <si>
    <t xml:space="preserve">   Total</t>
  </si>
  <si>
    <t>Flat</t>
  </si>
  <si>
    <t>1 USD</t>
  </si>
  <si>
    <t>1 INR</t>
  </si>
  <si>
    <t>Sale Price
JPY</t>
  </si>
  <si>
    <t>Purchase Price JPY</t>
  </si>
  <si>
    <t>Unrealized
Profit
JPY</t>
  </si>
  <si>
    <t>Capital repayment + Unrealized Profit</t>
  </si>
  <si>
    <t>Profit JPY</t>
  </si>
  <si>
    <t>Cash</t>
  </si>
  <si>
    <t>Fixed Deposits</t>
  </si>
  <si>
    <t>Bank</t>
  </si>
  <si>
    <t>State Bank of India</t>
  </si>
  <si>
    <t>Bank of Baroda</t>
  </si>
  <si>
    <t>Yes Bank</t>
  </si>
  <si>
    <t>Cash in Hand</t>
  </si>
  <si>
    <t>ICICI Bank</t>
  </si>
  <si>
    <t>NRE INR</t>
  </si>
  <si>
    <t>NRO INR</t>
  </si>
  <si>
    <t>NRO + NRE 
INR</t>
  </si>
  <si>
    <t>Post Office</t>
  </si>
  <si>
    <t>Punjab National</t>
  </si>
  <si>
    <t>Bong</t>
  </si>
  <si>
    <t>Paul</t>
  </si>
  <si>
    <t xml:space="preserve"> </t>
  </si>
  <si>
    <t>Grand Total India</t>
  </si>
  <si>
    <t>Wallet</t>
  </si>
  <si>
    <t>Exodus</t>
  </si>
  <si>
    <t>Name</t>
  </si>
  <si>
    <t>Coin/Token</t>
  </si>
  <si>
    <t>Qty</t>
  </si>
  <si>
    <t>Cash in Hand and Bank</t>
  </si>
  <si>
    <t>Ricky SBI</t>
  </si>
  <si>
    <t>Aisai SBI</t>
  </si>
  <si>
    <t>Total USD</t>
  </si>
  <si>
    <t>Total JPY</t>
  </si>
  <si>
    <t>Capital</t>
  </si>
  <si>
    <t>Invested</t>
  </si>
  <si>
    <t>NISA</t>
  </si>
  <si>
    <t>Non NISA</t>
  </si>
  <si>
    <t>Pending 
to invest</t>
  </si>
  <si>
    <t>% Invested so far as on date</t>
  </si>
  <si>
    <t>% To Invest in 2026</t>
  </si>
  <si>
    <t>Stock USA bought</t>
  </si>
  <si>
    <t xml:space="preserve">Aisai Rakuten </t>
  </si>
  <si>
    <t>Zebpay 921</t>
  </si>
  <si>
    <t>Zebpay 89</t>
  </si>
  <si>
    <t>USDC</t>
  </si>
  <si>
    <t>USDT</t>
  </si>
  <si>
    <t>Balance USD</t>
  </si>
  <si>
    <t>ETH</t>
  </si>
  <si>
    <t>Ledger Live 2021</t>
  </si>
  <si>
    <t>BTC Public Key</t>
  </si>
  <si>
    <t>ETH Public Key</t>
  </si>
  <si>
    <t>Zebpay wallet 1</t>
  </si>
  <si>
    <t>bc1qks6fv4ld9wuc6dp64lesrt0ckh83plxzgzutfs</t>
  </si>
  <si>
    <t>0x4aE8Ff0dE38bd4b12da5265FcFe3559B98381389</t>
  </si>
  <si>
    <t>Zebpay wallet 2</t>
  </si>
  <si>
    <t>bc1qca4ydfm0xwdje4570pa6zlhzyxz5egnhrgpay7 </t>
  </si>
  <si>
    <t>0x07f4Cc19BEf4f3e54553aB1a11b2a9EC0b85d921</t>
  </si>
  <si>
    <t>BTC</t>
  </si>
  <si>
    <t>bc1qvd8y7hwfz4kd6ppgf7ew56eda3prwnjhrgzvra</t>
  </si>
  <si>
    <t>bc1q9mtam3plwglkn5df89224p3263g4xqreltszx2</t>
  </si>
  <si>
    <t>Render</t>
  </si>
  <si>
    <t>Ledger Live 2020</t>
  </si>
  <si>
    <t>Zebpay exchange</t>
  </si>
  <si>
    <t>Shinsei</t>
  </si>
  <si>
    <t>7-Eleven</t>
  </si>
  <si>
    <t>MUFJ</t>
  </si>
  <si>
    <t>Mizuho</t>
  </si>
  <si>
    <t>SMBC</t>
  </si>
  <si>
    <t>Japan Netto</t>
  </si>
  <si>
    <t xml:space="preserve">      Total</t>
  </si>
  <si>
    <t>Cash in Envelope 2026</t>
  </si>
  <si>
    <t>Expenses</t>
  </si>
  <si>
    <t>AU Pay Suica</t>
  </si>
  <si>
    <t>Nenkin Kenkohoken</t>
  </si>
  <si>
    <t>Minimaid Travel</t>
  </si>
  <si>
    <t>Kotei Shisanzei</t>
  </si>
  <si>
    <t>Kaatsu Pilates</t>
  </si>
  <si>
    <t>Okozukai</t>
  </si>
  <si>
    <t>Cash in Envelope 2027</t>
  </si>
  <si>
    <t>Not decided</t>
  </si>
  <si>
    <t>Passive Income</t>
  </si>
  <si>
    <t>Sabru</t>
  </si>
  <si>
    <t>Julian</t>
  </si>
  <si>
    <t>Subuhi</t>
  </si>
  <si>
    <t>Jagdish</t>
  </si>
  <si>
    <t>Iqbal</t>
  </si>
  <si>
    <t>Loans &amp; Shriram FD</t>
  </si>
  <si>
    <t>Shriram FD</t>
  </si>
  <si>
    <t>Overseas</t>
  </si>
  <si>
    <t>Ziraat Bank</t>
  </si>
  <si>
    <t>TBC</t>
  </si>
  <si>
    <t>Gold</t>
  </si>
  <si>
    <t>Physical Gold</t>
  </si>
  <si>
    <t>14.83 grams gold</t>
  </si>
  <si>
    <t>10.5 grams gold</t>
  </si>
  <si>
    <t>Tanaka KK Gold</t>
  </si>
  <si>
    <t>Others</t>
  </si>
  <si>
    <t>Stocks</t>
  </si>
  <si>
    <t>Ideco</t>
  </si>
  <si>
    <t>Physical Held Stocks</t>
  </si>
  <si>
    <t>Finolex Industries</t>
  </si>
  <si>
    <t>Hindustan Foods</t>
  </si>
  <si>
    <t>NCL Industries</t>
  </si>
  <si>
    <t>Stamps</t>
  </si>
  <si>
    <t>Physical Stamps</t>
  </si>
  <si>
    <t>Global Stamps</t>
  </si>
  <si>
    <t>Mom's Portfolio</t>
  </si>
  <si>
    <t>Asset</t>
  </si>
  <si>
    <t>Japanese Nenkin Pension</t>
  </si>
  <si>
    <t>Nenkin</t>
  </si>
  <si>
    <t>Analysis of Global Assets</t>
  </si>
  <si>
    <t>✅ 1. REAL ESTATE — TOTAL</t>
  </si>
  <si>
    <t>Already totaled:</t>
  </si>
  <si>
    <t>INR 38,500,000</t>
  </si>
  <si>
    <t>JPY 65,450,000</t>
  </si>
  <si>
    <t>USD 410,448</t>
  </si>
  <si>
    <t>Japan (Capital + Unrealized Profit)</t>
  </si>
  <si>
    <t>JPY 50,869,683</t>
  </si>
  <si>
    <t>INR 29,923,343</t>
  </si>
  <si>
    <t>USD 319,012</t>
  </si>
  <si>
    <t>🔹 REAL ESTATE — GRAND TOTAL</t>
  </si>
  <si>
    <t>Currency</t>
  </si>
  <si>
    <t>Amount</t>
  </si>
  <si>
    <t>✅ 2. CASH — TOTAL</t>
  </si>
  <si>
    <t>You’ve already given:</t>
  </si>
  <si>
    <t>India Cash Grand Total</t>
  </si>
  <si>
    <t>INR 45,286,041</t>
  </si>
  <si>
    <t>JPY 76,959,287.60</t>
  </si>
  <si>
    <t>USD 482,504</t>
  </si>
  <si>
    <t>Japan Cash Grand Total</t>
  </si>
  <si>
    <t>JPY 7,252,700</t>
  </si>
  <si>
    <t>INR 4,266,294</t>
  </si>
  <si>
    <t>USD 45,471</t>
  </si>
  <si>
    <t>Less: Japan Expenses 2026 + 2027</t>
  </si>
  <si>
    <t>(1,790,000 + 350,000 = 2,140,000 JPY)</t>
  </si>
  <si>
    <t>Expenses:</t>
  </si>
  <si>
    <t>JPY 2,140,000</t>
  </si>
  <si>
    <t>INR 1,258,823</t>
  </si>
  <si>
    <t>USD 13,417</t>
  </si>
  <si>
    <t>🔹 Japan NET Cash</t>
  </si>
  <si>
    <t>🔹 CASH — GRAND TOTAL</t>
  </si>
  <si>
    <t>✅ 3. PASSIVE INCOME (India Loans + Shriram)</t>
  </si>
  <si>
    <t>Given:</t>
  </si>
  <si>
    <t>INR 67,500</t>
  </si>
  <si>
    <t>JPY 114,750</t>
  </si>
  <si>
    <t>USD 750</t>
  </si>
  <si>
    <t>✅ 4. GOLD + TANAKA + STAMPS + NENKIN</t>
  </si>
  <si>
    <t>INR: 361,712</t>
  </si>
  <si>
    <t>JPY: 614,911</t>
  </si>
  <si>
    <t>USD: 3,856</t>
  </si>
  <si>
    <t>Tanaka Gold</t>
  </si>
  <si>
    <t>JPY: 90,304</t>
  </si>
  <si>
    <t>INR: 53,120</t>
  </si>
  <si>
    <t>USD: 566</t>
  </si>
  <si>
    <t>INR: 1,500,000</t>
  </si>
  <si>
    <t>JPY: 2,550,000</t>
  </si>
  <si>
    <t>USD: 15,991</t>
  </si>
  <si>
    <t>Japanese Nenkin</t>
  </si>
  <si>
    <t>JPY: 13,430,214</t>
  </si>
  <si>
    <t>INR: 7,900,126</t>
  </si>
  <si>
    <t>USD: 84,202</t>
  </si>
  <si>
    <t>🔹 TOTAL (Gold + Tanaka + Stamps + Nenkin)</t>
  </si>
  <si>
    <t>✅ 5. STOCKS</t>
  </si>
  <si>
    <t>iDeCo Japan</t>
  </si>
  <si>
    <t>JPY: 4,208,986</t>
  </si>
  <si>
    <t>INR: 2,475,874</t>
  </si>
  <si>
    <t>USD: 26,389</t>
  </si>
  <si>
    <t>India Physical Stocks</t>
  </si>
  <si>
    <t>INR: 390,880</t>
  </si>
  <si>
    <t>JPY: 664,496</t>
  </si>
  <si>
    <t>USD: 2,451</t>
  </si>
  <si>
    <t>Mom’s Portfolio</t>
  </si>
  <si>
    <t>INR: 9,777,811</t>
  </si>
  <si>
    <t>JPY: 16,622,279</t>
  </si>
  <si>
    <t>USD: 104,241</t>
  </si>
  <si>
    <t>Converted:</t>
  </si>
  <si>
    <t>🔹 TOTAL STOCKS</t>
  </si>
  <si>
    <t>✅ 6. CRYPTO</t>
  </si>
  <si>
    <t>Already listed:</t>
  </si>
  <si>
    <t>USD 68,739</t>
  </si>
  <si>
    <t>INR ≈ 6,447,778</t>
  </si>
  <si>
    <t>JPY ≈ 10,960,000</t>
  </si>
  <si>
    <t>🌟🌟 FINAL GRAND TOTAL (ALL ASSETS) 🌟🌟</t>
  </si>
  <si>
    <t>Now sum all categories.</t>
  </si>
  <si>
    <t>✅ TOTAL NET WORTH — INR</t>
  </si>
  <si>
    <t>Category</t>
  </si>
  <si>
    <t>Passive income</t>
  </si>
  <si>
    <t>Gold + Stamps + Nenkin</t>
  </si>
  <si>
    <t>TOTAL INR</t>
  </si>
  <si>
    <t>✅ TOTAL NET WORTH — USD</t>
  </si>
  <si>
    <t>TOTAL USD</t>
  </si>
  <si>
    <t>⭐ ≈ $1.66 Million</t>
  </si>
  <si>
    <t>✅ TOTAL NET WORTH — JPY</t>
  </si>
  <si>
    <t>TOTAL JPY</t>
  </si>
  <si>
    <t>🎉 FINAL SUMMARY</t>
  </si>
  <si>
    <t>Total Net Worth</t>
  </si>
  <si>
    <r>
      <t xml:space="preserve">JPY: 7,252,700 − 2,140,000 = </t>
    </r>
    <r>
      <rPr>
        <b/>
        <sz val="15"/>
        <color indexed="8"/>
        <rFont val="Calibri"/>
        <family val="3"/>
        <charset val="128"/>
      </rPr>
      <t>5,112,700</t>
    </r>
  </si>
  <si>
    <r>
      <t xml:space="preserve">INR: 4,266,294 − 1,258,823 = </t>
    </r>
    <r>
      <rPr>
        <b/>
        <sz val="15"/>
        <color indexed="8"/>
        <rFont val="Calibri"/>
        <family val="3"/>
        <charset val="128"/>
      </rPr>
      <t>3,007,471</t>
    </r>
  </si>
  <si>
    <r>
      <t xml:space="preserve">USD: 45,471 − 13,417 = </t>
    </r>
    <r>
      <rPr>
        <b/>
        <sz val="15"/>
        <color indexed="8"/>
        <rFont val="Calibri"/>
        <family val="3"/>
        <charset val="128"/>
      </rPr>
      <t>32,054</t>
    </r>
  </si>
  <si>
    <r>
      <t xml:space="preserve">USD: 50,228 + 51,314 + 7,643 = </t>
    </r>
    <r>
      <rPr>
        <b/>
        <sz val="15"/>
        <color indexed="8"/>
        <rFont val="Calibri"/>
        <family val="3"/>
        <charset val="128"/>
      </rPr>
      <t>109,185 USD</t>
    </r>
  </si>
  <si>
    <r>
      <t xml:space="preserve">INR ≈ 109,185 × 93.8 = </t>
    </r>
    <r>
      <rPr>
        <b/>
        <sz val="15"/>
        <color indexed="8"/>
        <rFont val="Calibri"/>
        <family val="3"/>
        <charset val="128"/>
      </rPr>
      <t>10,249,533</t>
    </r>
  </si>
  <si>
    <r>
      <t xml:space="preserve">JPY ≈ 109,185 × 159.5 = </t>
    </r>
    <r>
      <rPr>
        <b/>
        <sz val="15"/>
        <color indexed="8"/>
        <rFont val="Calibri"/>
        <family val="3"/>
        <charset val="128"/>
      </rPr>
      <t>17,423,007</t>
    </r>
  </si>
  <si>
    <t>As on 22-4-2026</t>
  </si>
  <si>
    <t>⭐ ₹15.78 crore</t>
  </si>
  <si>
    <r>
      <t xml:space="preserve">(= approx </t>
    </r>
    <r>
      <rPr>
        <b/>
        <sz val="15"/>
        <color indexed="8"/>
        <rFont val="Calibri"/>
        <family val="3"/>
        <charset val="128"/>
      </rPr>
      <t>₹15.78 crore</t>
    </r>
    <r>
      <rPr>
        <sz val="15"/>
        <color indexed="8"/>
        <rFont val="Calibri"/>
        <family val="3"/>
        <charset val="128"/>
      </rPr>
      <t>)</t>
    </r>
  </si>
  <si>
    <t>⭐ ≈ ¥268 million</t>
  </si>
  <si>
    <r>
      <t xml:space="preserve">(= </t>
    </r>
    <r>
      <rPr>
        <b/>
        <sz val="15"/>
        <color indexed="8"/>
        <rFont val="Calibri"/>
        <family val="3"/>
        <charset val="128"/>
      </rPr>
      <t>2.68 Oku yen</t>
    </r>
    <r>
      <rPr>
        <sz val="15"/>
        <color indexed="8"/>
        <rFont val="Calibri"/>
        <family val="3"/>
        <charset val="128"/>
      </rPr>
      <t>)</t>
    </r>
  </si>
  <si>
    <t>$1.68 million</t>
  </si>
  <si>
    <t>¥268 million</t>
  </si>
  <si>
    <t>₹15.78 crore</t>
  </si>
  <si>
    <t>Purchase Amt JPY</t>
  </si>
  <si>
    <t>If Ricardo is Alive</t>
  </si>
  <si>
    <t>If Ricardo is Dead</t>
  </si>
  <si>
    <t>Flats Japan</t>
  </si>
  <si>
    <t>Himawari</t>
  </si>
  <si>
    <t>LIC</t>
  </si>
  <si>
    <t>MaxLife</t>
  </si>
  <si>
    <t xml:space="preserve">     Total</t>
  </si>
  <si>
    <t xml:space="preserve">       JPY</t>
  </si>
  <si>
    <t>¥354 million</t>
  </si>
  <si>
    <t>$2.223 million</t>
  </si>
  <si>
    <t>₹20.86 crore</t>
  </si>
  <si>
    <t>Grand Total</t>
  </si>
  <si>
    <t>Assets</t>
  </si>
  <si>
    <t>Global Asset</t>
  </si>
  <si>
    <t>x</t>
  </si>
  <si>
    <t>As on 24-4-2026</t>
  </si>
  <si>
    <t>Region</t>
  </si>
  <si>
    <t>Asset Category</t>
  </si>
  <si>
    <t>Asset Owner</t>
  </si>
  <si>
    <t>Real estate
(Capital Repayment)</t>
  </si>
  <si>
    <t>Real estate
(Unrealized Profit)</t>
  </si>
  <si>
    <t>$1.701 million</t>
  </si>
  <si>
    <t>State Bank of India NRE</t>
  </si>
  <si>
    <t>State Bank of India NRO</t>
  </si>
  <si>
    <t>Bank of India NRE</t>
  </si>
  <si>
    <t>Bank of India NRO</t>
  </si>
  <si>
    <t>ICICI Bank NRO</t>
  </si>
  <si>
    <t>Bank of Baroda NRO</t>
  </si>
  <si>
    <t>HDFC Bank NRO</t>
  </si>
  <si>
    <t>HDFC Bank NRE</t>
  </si>
  <si>
    <t>Yes Bank NRE</t>
  </si>
  <si>
    <t>Yes Bank NRO</t>
  </si>
  <si>
    <t>Veronica</t>
  </si>
  <si>
    <t>Cash in Bank</t>
  </si>
  <si>
    <t>Cash in Envelope</t>
  </si>
  <si>
    <t>Undecided</t>
  </si>
  <si>
    <t>Europe</t>
  </si>
  <si>
    <t>Sabrina</t>
  </si>
  <si>
    <t>Cash in Overseas Bank</t>
  </si>
  <si>
    <t>Cash Loans given to Family</t>
  </si>
  <si>
    <t>Gold (Physical)</t>
  </si>
  <si>
    <t>Tanaka K.K</t>
  </si>
  <si>
    <t>Ricardo Pension</t>
  </si>
  <si>
    <t>Kaori Pension</t>
  </si>
  <si>
    <t>Ideco Private Pension</t>
  </si>
  <si>
    <t>₹17.94 crore</t>
  </si>
  <si>
    <t>₹22.94 crore</t>
  </si>
  <si>
    <t>Vernonica Portfolio</t>
  </si>
  <si>
    <t>Global</t>
  </si>
  <si>
    <t>Cryptocurrency</t>
  </si>
  <si>
    <t>Bitcoin</t>
  </si>
  <si>
    <t>Stablecoins</t>
  </si>
  <si>
    <t>Altcoins</t>
  </si>
  <si>
    <t xml:space="preserve">Stocks </t>
  </si>
  <si>
    <t>SBI Securities</t>
  </si>
  <si>
    <t>SBI, Rakuten Securities</t>
  </si>
  <si>
    <t>Summary</t>
  </si>
  <si>
    <t>System</t>
  </si>
  <si>
    <t>Total Assets</t>
  </si>
  <si>
    <t xml:space="preserve">     - </t>
  </si>
  <si>
    <t>No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</si>
</sst>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3"/>
      <charset val="128"/>
      <scheme val="minor"/>
    </font>
    <font>
      <sz val="11"/>
      <color theme="1"/>
      <name val="Calibri"/>
      <family val="2"/>
      <scheme val="minor"/>
    </font>
    <font>
      <sz val="6"/>
      <name val="游ゴシック"/>
      <family val="3"/>
      <charset val="128"/>
    </font>
    <font>
      <b/>
      <sz val="11"/>
      <color indexed="8"/>
      <name val="Century Gothic"/>
      <family val="2"/>
    </font>
    <font>
      <b/>
      <sz val="11"/>
      <color indexed="8"/>
      <name val="Yu Gothic"/>
      <family val="3"/>
      <charset val="128"/>
    </font>
    <font>
      <sz val="9"/>
      <color indexed="81"/>
      <name val="MS P ゴシック"/>
      <family val="3"/>
      <charset val="128"/>
    </font>
    <font>
      <b/>
      <sz val="9"/>
      <color indexed="81"/>
      <name val="MS P ゴシック"/>
      <family val="3"/>
      <charset val="128"/>
    </font>
    <font>
      <sz val="6"/>
      <name val="游ゴシック"/>
      <family val="3"/>
      <charset val="128"/>
    </font>
    <font>
      <sz val="10"/>
      <color indexed="62"/>
      <name val="Arial"/>
      <family val="2"/>
    </font>
    <font>
      <b/>
      <sz val="10"/>
      <color indexed="62"/>
      <name val="Arial"/>
      <family val="2"/>
    </font>
    <font>
      <sz val="15"/>
      <color indexed="8"/>
      <name val="Calibri"/>
      <family val="3"/>
      <charset val="128"/>
    </font>
    <font>
      <b/>
      <sz val="15"/>
      <color indexed="8"/>
      <name val="Calibri"/>
      <family val="3"/>
      <charset val="128"/>
    </font>
    <font>
      <sz val="11"/>
      <color theme="1"/>
      <name val="Calibri"/>
      <family val="3"/>
      <charset val="128"/>
      <scheme val="minor"/>
    </font>
    <font>
      <sz val="11"/>
      <color theme="1"/>
      <name val="Calibri"/>
      <family val="2"/>
      <scheme val="minor"/>
    </font>
    <font>
      <b/>
      <sz val="11"/>
      <color theme="1"/>
      <name val="Calibri"/>
      <family val="3"/>
      <charset val="128"/>
      <scheme val="minor"/>
    </font>
    <font>
      <sz val="11"/>
      <color theme="1"/>
      <name val="Microsoft YaHei UI"/>
      <family val="2"/>
      <charset val="134"/>
    </font>
    <font>
      <b/>
      <sz val="11"/>
      <color theme="1"/>
      <name val="Century Gothic"/>
      <family val="2"/>
    </font>
    <font>
      <sz val="11"/>
      <color theme="1"/>
      <name val="游ゴシック"/>
      <family val="3"/>
      <charset val="128"/>
    </font>
    <font>
      <b/>
      <sz val="14"/>
      <color theme="1"/>
      <name val="Calibri"/>
      <family val="3"/>
      <charset val="128"/>
      <scheme val="minor"/>
    </font>
    <font>
      <b/>
      <sz val="11"/>
      <color theme="1"/>
      <name val="Calibri"/>
      <family val="2"/>
      <scheme val="minor"/>
    </font>
    <font>
      <sz val="15"/>
      <color theme="1"/>
      <name val="Calibri"/>
      <family val="3"/>
      <charset val="128"/>
      <scheme val="minor"/>
    </font>
    <font>
      <b/>
      <u/>
      <sz val="17"/>
      <color theme="1"/>
      <name val="Calibri"/>
      <family val="2"/>
      <scheme val="minor"/>
    </font>
    <font>
      <sz val="11"/>
      <color rgb="FFFF0000"/>
      <name val="Calibri"/>
      <family val="2"/>
      <scheme val="minor"/>
    </font>
    <font>
      <b/>
      <sz val="18"/>
      <color theme="1"/>
      <name val="Calibri"/>
      <family val="2"/>
      <scheme val="minor"/>
    </font>
    <font>
      <b/>
      <sz val="16"/>
      <color theme="1"/>
      <name val="Calibri"/>
      <family val="2"/>
      <scheme val="minor"/>
    </font>
    <font>
      <b/>
      <u/>
      <sz val="25"/>
      <color theme="1"/>
      <name val="Calibri"/>
      <family val="2"/>
      <scheme val="minor"/>
    </font>
    <font>
      <b/>
      <sz val="15"/>
      <color theme="1"/>
      <name val="Calibri"/>
      <family val="3"/>
      <charset val="128"/>
      <scheme val="minor"/>
    </font>
    <font>
      <b/>
      <sz val="23"/>
      <color theme="1"/>
      <name val="Calibri"/>
      <family val="2"/>
      <scheme val="minor"/>
    </font>
    <font>
      <b/>
      <u/>
      <sz val="15"/>
      <color theme="1"/>
      <name val="Calibri"/>
      <family val="2"/>
      <scheme val="minor"/>
    </font>
    <font>
      <sz val="26"/>
      <color theme="1"/>
      <name val="Calibri"/>
      <family val="2"/>
      <scheme val="minor"/>
    </font>
    <font>
      <b/>
      <sz val="26"/>
      <color theme="1"/>
      <name val="Calibri"/>
      <family val="2"/>
      <scheme val="minor"/>
    </font>
    <font>
      <sz val="20"/>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9" tint="0.39997558519241921"/>
        <bgColor indexed="64"/>
      </patternFill>
    </fill>
  </fills>
  <borders count="15">
    <border>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alignment vertical="center"/>
    </xf>
    <xf numFmtId="0" fontId="13" fillId="0" borderId="0"/>
    <xf numFmtId="0" fontId="12" fillId="0" borderId="0"/>
    <xf numFmtId="0" fontId="12" fillId="0" borderId="0">
      <alignment vertical="center"/>
    </xf>
  </cellStyleXfs>
  <cellXfs count="84">
    <xf numFmtId="0" fontId="0" fillId="0" borderId="0" xfId="0">
      <alignment vertical="center"/>
    </xf>
    <xf numFmtId="0" fontId="14" fillId="0" borderId="0" xfId="0" applyFont="1">
      <alignment vertical="center"/>
    </xf>
    <xf numFmtId="0" fontId="15" fillId="0" borderId="0" xfId="0" applyFont="1">
      <alignment vertical="center"/>
    </xf>
    <xf numFmtId="0" fontId="16" fillId="0" borderId="0" xfId="0" applyFont="1">
      <alignment vertical="center"/>
    </xf>
    <xf numFmtId="0" fontId="17" fillId="0" borderId="0" xfId="0" applyFont="1">
      <alignment vertical="center"/>
    </xf>
    <xf numFmtId="0" fontId="0" fillId="2" borderId="0" xfId="0" applyFill="1">
      <alignment vertical="center"/>
    </xf>
    <xf numFmtId="0" fontId="18" fillId="0" borderId="0" xfId="0" applyFont="1">
      <alignment vertical="center"/>
    </xf>
    <xf numFmtId="3" fontId="0" fillId="0" borderId="0" xfId="0" applyNumberFormat="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19" fillId="0" borderId="0" xfId="0" applyFont="1">
      <alignment vertical="center"/>
    </xf>
    <xf numFmtId="0" fontId="0" fillId="0" borderId="5" xfId="0" applyBorder="1">
      <alignment vertical="center"/>
    </xf>
    <xf numFmtId="3" fontId="0" fillId="0" borderId="5" xfId="0" applyNumberFormat="1" applyBorder="1">
      <alignment vertical="center"/>
    </xf>
    <xf numFmtId="0" fontId="0" fillId="2" borderId="5" xfId="0" applyFill="1" applyBorder="1">
      <alignment vertical="center"/>
    </xf>
    <xf numFmtId="0" fontId="0" fillId="0" borderId="5" xfId="0" applyBorder="1" applyAlignment="1">
      <alignment vertical="center" wrapText="1"/>
    </xf>
    <xf numFmtId="0" fontId="20" fillId="0" borderId="0" xfId="0" applyFont="1">
      <alignment vertical="center"/>
    </xf>
    <xf numFmtId="0" fontId="19" fillId="2" borderId="0" xfId="0" applyFont="1" applyFill="1">
      <alignment vertical="center"/>
    </xf>
    <xf numFmtId="0" fontId="19" fillId="2" borderId="5" xfId="0" applyFont="1" applyFill="1" applyBorder="1">
      <alignment vertical="center"/>
    </xf>
    <xf numFmtId="3" fontId="0" fillId="2" borderId="5" xfId="0" applyNumberFormat="1" applyFill="1" applyBorder="1">
      <alignment vertical="center"/>
    </xf>
    <xf numFmtId="0" fontId="19" fillId="2" borderId="6" xfId="0" applyFont="1" applyFill="1" applyBorder="1">
      <alignment vertical="center"/>
    </xf>
    <xf numFmtId="0" fontId="19" fillId="2" borderId="5" xfId="0" applyFont="1" applyFill="1" applyBorder="1" applyAlignment="1">
      <alignment vertical="center" wrapText="1"/>
    </xf>
    <xf numFmtId="3" fontId="19" fillId="2" borderId="3" xfId="0" applyNumberFormat="1" applyFont="1" applyFill="1" applyBorder="1">
      <alignment vertical="center"/>
    </xf>
    <xf numFmtId="0" fontId="19" fillId="3" borderId="5" xfId="0" applyFont="1" applyFill="1" applyBorder="1">
      <alignment vertical="center"/>
    </xf>
    <xf numFmtId="3" fontId="19" fillId="3" borderId="5" xfId="0" applyNumberFormat="1" applyFont="1" applyFill="1" applyBorder="1">
      <alignment vertical="center"/>
    </xf>
    <xf numFmtId="3" fontId="0" fillId="3" borderId="5" xfId="0" applyNumberFormat="1" applyFill="1" applyBorder="1">
      <alignment vertical="center"/>
    </xf>
    <xf numFmtId="4" fontId="0" fillId="3" borderId="5" xfId="0" applyNumberFormat="1" applyFill="1" applyBorder="1">
      <alignment vertical="center"/>
    </xf>
    <xf numFmtId="0" fontId="13" fillId="0" borderId="0" xfId="1"/>
    <xf numFmtId="0" fontId="21" fillId="0" borderId="0" xfId="1" applyFont="1"/>
    <xf numFmtId="0" fontId="13" fillId="2" borderId="5" xfId="1" applyFill="1" applyBorder="1"/>
    <xf numFmtId="3" fontId="13" fillId="0" borderId="5" xfId="1" applyNumberFormat="1" applyBorder="1"/>
    <xf numFmtId="0" fontId="13" fillId="0" borderId="5" xfId="1" applyBorder="1"/>
    <xf numFmtId="3" fontId="22" fillId="4" borderId="5" xfId="1" applyNumberFormat="1" applyFont="1" applyFill="1" applyBorder="1"/>
    <xf numFmtId="0" fontId="13" fillId="2" borderId="5" xfId="1" applyFill="1" applyBorder="1" applyAlignment="1">
      <alignment wrapText="1"/>
    </xf>
    <xf numFmtId="0" fontId="13" fillId="2" borderId="0" xfId="1" applyFill="1"/>
    <xf numFmtId="2" fontId="13" fillId="2" borderId="0" xfId="1" applyNumberFormat="1" applyFill="1"/>
    <xf numFmtId="4" fontId="0" fillId="0" borderId="5" xfId="0" applyNumberFormat="1"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3" fontId="19" fillId="2" borderId="0" xfId="0" applyNumberFormat="1" applyFont="1" applyFill="1">
      <alignment vertical="center"/>
    </xf>
    <xf numFmtId="3" fontId="13" fillId="0" borderId="5" xfId="0" applyNumberFormat="1" applyFont="1" applyBorder="1">
      <alignment vertical="center"/>
    </xf>
    <xf numFmtId="3" fontId="19" fillId="2" borderId="5" xfId="0" applyNumberFormat="1" applyFont="1" applyFill="1" applyBorder="1">
      <alignment vertical="center"/>
    </xf>
    <xf numFmtId="0" fontId="19" fillId="2" borderId="3" xfId="0" applyFont="1" applyFill="1" applyBorder="1">
      <alignment vertical="center"/>
    </xf>
    <xf numFmtId="4" fontId="0" fillId="0" borderId="0" xfId="0" applyNumberFormat="1">
      <alignment vertical="center"/>
    </xf>
    <xf numFmtId="0" fontId="23" fillId="2" borderId="0" xfId="0" applyFont="1" applyFill="1">
      <alignment vertical="center"/>
    </xf>
    <xf numFmtId="0" fontId="24" fillId="2" borderId="5" xfId="0" applyFont="1" applyFill="1" applyBorder="1">
      <alignment vertical="center"/>
    </xf>
    <xf numFmtId="0" fontId="25" fillId="0" borderId="0" xfId="0" applyFont="1">
      <alignment vertical="center"/>
    </xf>
    <xf numFmtId="0" fontId="26" fillId="0" borderId="0" xfId="0" applyFont="1">
      <alignment vertical="center"/>
    </xf>
    <xf numFmtId="0" fontId="26" fillId="0" borderId="0" xfId="0" applyFont="1" applyAlignment="1">
      <alignment horizontal="center" vertical="center" wrapText="1"/>
    </xf>
    <xf numFmtId="0" fontId="26" fillId="0" borderId="0" xfId="0" applyFont="1" applyAlignment="1">
      <alignment vertical="center" wrapText="1"/>
    </xf>
    <xf numFmtId="3" fontId="26" fillId="0" borderId="0" xfId="0" applyNumberFormat="1" applyFont="1" applyAlignment="1">
      <alignment vertical="center" wrapText="1"/>
    </xf>
    <xf numFmtId="4" fontId="26" fillId="0" borderId="0" xfId="0" applyNumberFormat="1" applyFont="1" applyAlignment="1">
      <alignment vertical="center" wrapText="1"/>
    </xf>
    <xf numFmtId="0" fontId="20" fillId="0" borderId="0" xfId="0" applyFont="1" applyAlignment="1">
      <alignment vertical="center" wrapText="1"/>
    </xf>
    <xf numFmtId="3" fontId="20" fillId="0" borderId="0" xfId="0" applyNumberFormat="1" applyFont="1" applyAlignment="1">
      <alignment vertical="center" wrapText="1"/>
    </xf>
    <xf numFmtId="0" fontId="27" fillId="0" borderId="0" xfId="0" applyFont="1">
      <alignment vertical="center"/>
    </xf>
    <xf numFmtId="0" fontId="28" fillId="2" borderId="0" xfId="0" applyFont="1" applyFill="1">
      <alignment vertical="center"/>
    </xf>
    <xf numFmtId="0" fontId="26" fillId="0" borderId="5" xfId="0" applyFont="1" applyBorder="1" applyAlignment="1">
      <alignment horizontal="center" vertical="center" wrapText="1"/>
    </xf>
    <xf numFmtId="0" fontId="26" fillId="0" borderId="5" xfId="0" applyFont="1" applyBorder="1" applyAlignment="1">
      <alignment vertical="center" wrapText="1"/>
    </xf>
    <xf numFmtId="0" fontId="29" fillId="0" borderId="0" xfId="0" applyFont="1">
      <alignment vertical="center"/>
    </xf>
    <xf numFmtId="0" fontId="29" fillId="0" borderId="5" xfId="0" applyFont="1" applyBorder="1">
      <alignment vertical="center"/>
    </xf>
    <xf numFmtId="3" fontId="29" fillId="0" borderId="5" xfId="0" applyNumberFormat="1" applyFont="1" applyBorder="1">
      <alignment vertical="center"/>
    </xf>
    <xf numFmtId="0" fontId="29" fillId="5" borderId="0" xfId="0" applyFont="1" applyFill="1">
      <alignment vertical="center"/>
    </xf>
    <xf numFmtId="0" fontId="29" fillId="5" borderId="5" xfId="0" applyFont="1" applyFill="1" applyBorder="1">
      <alignment vertical="center"/>
    </xf>
    <xf numFmtId="0" fontId="30" fillId="5" borderId="5" xfId="0" applyFont="1" applyFill="1" applyBorder="1">
      <alignment vertical="center"/>
    </xf>
    <xf numFmtId="3" fontId="0" fillId="0" borderId="6" xfId="0" applyNumberFormat="1" applyBorder="1">
      <alignment vertical="center"/>
    </xf>
    <xf numFmtId="1" fontId="19" fillId="2" borderId="5" xfId="0" applyNumberFormat="1" applyFont="1" applyFill="1" applyBorder="1">
      <alignment vertical="center"/>
    </xf>
    <xf numFmtId="0" fontId="31" fillId="5" borderId="0" xfId="0" applyFont="1" applyFill="1">
      <alignment vertical="center"/>
    </xf>
    <xf numFmtId="3" fontId="29" fillId="0" borderId="0" xfId="0" applyNumberFormat="1" applyFont="1">
      <alignment vertical="center"/>
    </xf>
    <xf numFmtId="3" fontId="0" fillId="2" borderId="0" xfId="0" applyNumberFormat="1" applyFill="1">
      <alignment vertical="center"/>
    </xf>
    <xf numFmtId="0" fontId="19" fillId="0" borderId="5" xfId="0" applyFont="1" applyBorder="1">
      <alignment vertical="center"/>
    </xf>
    <xf numFmtId="3" fontId="19" fillId="0" borderId="5" xfId="0" applyNumberFormat="1" applyFont="1" applyBorder="1">
      <alignment vertical="center"/>
    </xf>
    <xf numFmtId="3" fontId="19" fillId="0" borderId="5" xfId="0" applyNumberFormat="1" applyFont="1" applyBorder="1" applyAlignment="1">
      <alignment vertical="center" wrapText="1"/>
    </xf>
    <xf numFmtId="0" fontId="0" fillId="2" borderId="0" xfId="0" applyFill="1" applyAlignment="1">
      <alignment vertical="center" wrapText="1"/>
    </xf>
    <xf numFmtId="3" fontId="0" fillId="2" borderId="0" xfId="0" applyNumberFormat="1" applyFill="1" applyAlignment="1">
      <alignment vertical="center" wrapText="1"/>
    </xf>
    <xf numFmtId="0" fontId="23" fillId="2" borderId="5" xfId="0" applyFont="1" applyFill="1" applyBorder="1">
      <alignment vertical="center"/>
    </xf>
    <xf numFmtId="49" fontId="19" fillId="0" borderId="5" xfId="0" applyNumberFormat="1" applyFont="1" applyBorder="1">
      <alignment vertical="center"/>
    </xf>
    <xf numFmtId="3" fontId="1" fillId="0" borderId="5" xfId="0" applyNumberFormat="1" applyFont="1" applyBorder="1">
      <alignment vertical="center"/>
    </xf>
  </cellXfs>
  <cellStyles count="4">
    <cellStyle name="Normal" xfId="0" builtinId="0"/>
    <cellStyle name="Normal 2" xfId="1" xr:uid="{3897FAEB-7BE7-4528-AC9D-175779F297C4}"/>
    <cellStyle name="標準 2" xfId="2" xr:uid="{F43862AA-D239-4850-B402-D99D4C409289}"/>
    <cellStyle name="標準 3" xfId="3" xr:uid="{E2E3B6F5-F78E-4DE3-92DC-9DDFCB5470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541020</xdr:colOff>
      <xdr:row>5</xdr:row>
      <xdr:rowOff>121920</xdr:rowOff>
    </xdr:from>
    <xdr:to>
      <xdr:col>17</xdr:col>
      <xdr:colOff>426720</xdr:colOff>
      <xdr:row>34</xdr:row>
      <xdr:rowOff>53340</xdr:rowOff>
    </xdr:to>
    <xdr:pic>
      <xdr:nvPicPr>
        <xdr:cNvPr id="44598" name="図 1">
          <a:extLst>
            <a:ext uri="{FF2B5EF4-FFF2-40B4-BE49-F238E27FC236}">
              <a16:creationId xmlns:a16="http://schemas.microsoft.com/office/drawing/2014/main" id="{4F143C59-DD76-6613-A126-5EBFCAF4DF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0620" y="1036320"/>
          <a:ext cx="9639300" cy="523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bankbazaar.com/currency-exchange.html"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A40C8-F49C-4D5A-9FF0-27002E993555}">
  <dimension ref="D3:G766"/>
  <sheetViews>
    <sheetView topLeftCell="A26" zoomScaleNormal="100" workbookViewId="0">
      <selection activeCell="O34" sqref="O34"/>
    </sheetView>
  </sheetViews>
  <sheetFormatPr defaultColWidth="8.77734375" defaultRowHeight="15.6"/>
  <cols>
    <col min="1" max="16384" width="8.77734375" style="2"/>
  </cols>
  <sheetData>
    <row r="3" spans="4:7">
      <c r="D3" s="2">
        <v>1</v>
      </c>
      <c r="E3" s="3" t="s">
        <v>0</v>
      </c>
      <c r="F3" s="3"/>
      <c r="G3" s="3"/>
    </row>
    <row r="4" spans="4:7">
      <c r="D4" s="2">
        <v>2</v>
      </c>
      <c r="E4" s="3" t="s">
        <v>1</v>
      </c>
      <c r="F4" s="3"/>
      <c r="G4" s="3"/>
    </row>
    <row r="5" spans="4:7">
      <c r="D5" s="2">
        <v>3</v>
      </c>
      <c r="E5" s="3" t="s">
        <v>32</v>
      </c>
      <c r="F5" s="3"/>
      <c r="G5" s="3"/>
    </row>
    <row r="6" spans="4:7">
      <c r="E6" s="3"/>
      <c r="F6" s="3" t="s">
        <v>8</v>
      </c>
      <c r="G6" s="3"/>
    </row>
    <row r="7" spans="4:7">
      <c r="E7" s="3"/>
      <c r="F7" s="3" t="s">
        <v>9</v>
      </c>
      <c r="G7" s="3"/>
    </row>
    <row r="8" spans="4:7">
      <c r="D8" s="2">
        <v>4</v>
      </c>
      <c r="E8" s="3" t="s">
        <v>2</v>
      </c>
      <c r="F8" s="3"/>
      <c r="G8" s="3"/>
    </row>
    <row r="9" spans="4:7">
      <c r="D9" s="2">
        <v>5</v>
      </c>
      <c r="E9" s="3" t="s">
        <v>3</v>
      </c>
      <c r="F9" s="3"/>
      <c r="G9" s="3"/>
    </row>
    <row r="10" spans="4:7">
      <c r="D10" s="2">
        <v>6</v>
      </c>
      <c r="E10" s="3" t="s">
        <v>4</v>
      </c>
      <c r="F10" s="3"/>
      <c r="G10" s="3"/>
    </row>
    <row r="11" spans="4:7">
      <c r="D11" s="2">
        <v>7</v>
      </c>
      <c r="E11" s="3" t="s">
        <v>5</v>
      </c>
      <c r="F11" s="3"/>
      <c r="G11" s="3"/>
    </row>
    <row r="12" spans="4:7">
      <c r="E12" s="3"/>
      <c r="F12" s="3" t="s">
        <v>27</v>
      </c>
      <c r="G12" s="3"/>
    </row>
    <row r="13" spans="4:7">
      <c r="E13" s="3"/>
      <c r="F13" s="3" t="s">
        <v>28</v>
      </c>
      <c r="G13" s="3"/>
    </row>
    <row r="14" spans="4:7">
      <c r="E14" s="3"/>
      <c r="F14" s="3" t="s">
        <v>29</v>
      </c>
      <c r="G14" s="3"/>
    </row>
    <row r="15" spans="4:7">
      <c r="E15" s="3"/>
      <c r="F15" s="3" t="s">
        <v>30</v>
      </c>
      <c r="G15" s="3"/>
    </row>
    <row r="16" spans="4:7">
      <c r="D16" s="2">
        <v>8</v>
      </c>
      <c r="E16" s="3" t="s">
        <v>6</v>
      </c>
      <c r="F16" s="3"/>
      <c r="G16" s="3"/>
    </row>
    <row r="17" spans="4:7">
      <c r="D17" s="2">
        <v>9</v>
      </c>
      <c r="E17" s="3" t="s">
        <v>31</v>
      </c>
      <c r="F17" s="3"/>
      <c r="G17" s="3"/>
    </row>
    <row r="18" spans="4:7">
      <c r="E18" s="3"/>
      <c r="F18" s="3" t="s">
        <v>8</v>
      </c>
      <c r="G18" s="3"/>
    </row>
    <row r="19" spans="4:7">
      <c r="E19" s="3"/>
      <c r="F19" s="3" t="s">
        <v>9</v>
      </c>
      <c r="G19" s="3"/>
    </row>
    <row r="20" spans="4:7">
      <c r="D20" s="2">
        <v>10</v>
      </c>
      <c r="E20" s="3" t="s">
        <v>10</v>
      </c>
      <c r="F20" s="3"/>
      <c r="G20" s="3"/>
    </row>
    <row r="21" spans="4:7">
      <c r="D21" s="2">
        <v>11</v>
      </c>
      <c r="E21" s="3" t="s">
        <v>33</v>
      </c>
      <c r="F21" s="3"/>
      <c r="G21" s="3"/>
    </row>
    <row r="22" spans="4:7">
      <c r="D22" s="2">
        <v>12</v>
      </c>
      <c r="E22" s="3" t="s">
        <v>7</v>
      </c>
      <c r="F22" s="3"/>
      <c r="G22" s="3"/>
    </row>
    <row r="23" spans="4:7">
      <c r="E23" s="3"/>
      <c r="F23" s="3" t="s">
        <v>8</v>
      </c>
      <c r="G23" s="3"/>
    </row>
    <row r="24" spans="4:7">
      <c r="E24" s="3"/>
      <c r="F24" s="3" t="s">
        <v>9</v>
      </c>
      <c r="G24" s="3"/>
    </row>
    <row r="25" spans="4:7">
      <c r="D25" s="2">
        <v>13</v>
      </c>
      <c r="E25" s="3" t="s">
        <v>11</v>
      </c>
      <c r="F25" s="3"/>
      <c r="G25" s="3"/>
    </row>
    <row r="26" spans="4:7">
      <c r="D26" s="2">
        <v>14</v>
      </c>
      <c r="E26" s="3" t="s">
        <v>12</v>
      </c>
      <c r="F26" s="3"/>
      <c r="G26" s="3"/>
    </row>
    <row r="27" spans="4:7">
      <c r="D27" s="2">
        <v>15</v>
      </c>
      <c r="E27" s="3" t="s">
        <v>13</v>
      </c>
      <c r="F27" s="3"/>
      <c r="G27" s="3"/>
    </row>
    <row r="28" spans="4:7">
      <c r="E28" s="3"/>
      <c r="F28" s="3" t="s">
        <v>8</v>
      </c>
      <c r="G28" s="3"/>
    </row>
    <row r="29" spans="4:7">
      <c r="E29" s="3"/>
      <c r="F29" s="3" t="s">
        <v>9</v>
      </c>
      <c r="G29" s="3"/>
    </row>
    <row r="30" spans="4:7">
      <c r="D30" s="2">
        <v>16</v>
      </c>
      <c r="E30" s="3" t="s">
        <v>14</v>
      </c>
      <c r="F30" s="3"/>
      <c r="G30" s="3"/>
    </row>
    <row r="31" spans="4:7">
      <c r="D31" s="2">
        <v>17</v>
      </c>
      <c r="E31" s="3" t="s">
        <v>15</v>
      </c>
      <c r="F31" s="3"/>
      <c r="G31" s="3"/>
    </row>
    <row r="32" spans="4:7">
      <c r="E32" s="3"/>
      <c r="F32" s="3" t="s">
        <v>16</v>
      </c>
      <c r="G32" s="3"/>
    </row>
    <row r="33" spans="4:7">
      <c r="E33" s="3"/>
      <c r="F33" s="3" t="s">
        <v>17</v>
      </c>
      <c r="G33" s="3"/>
    </row>
    <row r="34" spans="4:7">
      <c r="D34" s="2">
        <v>18</v>
      </c>
      <c r="E34" s="3" t="s">
        <v>18</v>
      </c>
      <c r="F34" s="3"/>
      <c r="G34" s="3"/>
    </row>
    <row r="35" spans="4:7">
      <c r="E35" s="3"/>
      <c r="F35" s="3" t="s">
        <v>19</v>
      </c>
      <c r="G35" s="3"/>
    </row>
    <row r="36" spans="4:7">
      <c r="E36" s="3"/>
      <c r="F36" s="3" t="s">
        <v>20</v>
      </c>
      <c r="G36" s="3"/>
    </row>
    <row r="37" spans="4:7">
      <c r="E37" s="3"/>
      <c r="F37" s="3" t="s">
        <v>21</v>
      </c>
      <c r="G37" s="3"/>
    </row>
    <row r="38" spans="4:7" ht="18">
      <c r="D38" s="4">
        <v>19</v>
      </c>
      <c r="E38" s="3" t="s">
        <v>22</v>
      </c>
      <c r="F38" s="3"/>
      <c r="G38" s="3"/>
    </row>
    <row r="39" spans="4:7" ht="18">
      <c r="D39" s="2">
        <v>20</v>
      </c>
      <c r="E39" s="3" t="s">
        <v>23</v>
      </c>
      <c r="F39" s="3"/>
      <c r="G39" s="3"/>
    </row>
    <row r="40" spans="4:7">
      <c r="D40" s="2">
        <v>21</v>
      </c>
      <c r="E40" s="3" t="s">
        <v>24</v>
      </c>
      <c r="F40" s="3"/>
      <c r="G40" s="3"/>
    </row>
    <row r="41" spans="4:7">
      <c r="E41" s="3"/>
      <c r="F41" s="3" t="s">
        <v>25</v>
      </c>
      <c r="G41" s="3"/>
    </row>
    <row r="42" spans="4:7">
      <c r="E42" s="3"/>
      <c r="F42" s="3" t="s">
        <v>26</v>
      </c>
      <c r="G42" s="3"/>
    </row>
    <row r="43" spans="4:7">
      <c r="E43" s="3"/>
      <c r="F43" s="3"/>
      <c r="G43" s="3"/>
    </row>
    <row r="44" spans="4:7">
      <c r="E44" s="3"/>
      <c r="F44" s="3"/>
      <c r="G44" s="3"/>
    </row>
    <row r="45" spans="4:7">
      <c r="E45" s="3"/>
      <c r="F45" s="3"/>
      <c r="G45" s="3"/>
    </row>
    <row r="46" spans="4:7">
      <c r="E46" s="3"/>
      <c r="F46" s="3"/>
      <c r="G46" s="3"/>
    </row>
    <row r="47" spans="4:7">
      <c r="E47" s="3"/>
      <c r="F47" s="3"/>
      <c r="G47" s="3"/>
    </row>
    <row r="48" spans="4:7">
      <c r="E48" s="3"/>
      <c r="F48" s="3"/>
      <c r="G48" s="3"/>
    </row>
    <row r="49" spans="5:7">
      <c r="E49" s="3"/>
      <c r="F49" s="3"/>
      <c r="G49" s="3"/>
    </row>
    <row r="50" spans="5:7">
      <c r="E50" s="3"/>
      <c r="F50" s="3"/>
      <c r="G50" s="3"/>
    </row>
    <row r="51" spans="5:7">
      <c r="E51" s="3"/>
      <c r="F51" s="3"/>
      <c r="G51" s="3"/>
    </row>
    <row r="52" spans="5:7">
      <c r="E52" s="3"/>
      <c r="F52" s="3"/>
      <c r="G52" s="3"/>
    </row>
    <row r="53" spans="5:7">
      <c r="E53" s="3"/>
      <c r="F53" s="3"/>
      <c r="G53" s="3"/>
    </row>
    <row r="54" spans="5:7">
      <c r="E54" s="3"/>
      <c r="F54" s="3"/>
      <c r="G54" s="3"/>
    </row>
    <row r="55" spans="5:7">
      <c r="E55" s="3"/>
      <c r="F55" s="3"/>
      <c r="G55" s="3"/>
    </row>
    <row r="56" spans="5:7">
      <c r="E56" s="3"/>
      <c r="F56" s="3"/>
      <c r="G56" s="3"/>
    </row>
    <row r="57" spans="5:7">
      <c r="E57" s="3"/>
      <c r="F57" s="3"/>
      <c r="G57" s="3"/>
    </row>
    <row r="58" spans="5:7">
      <c r="E58" s="3"/>
      <c r="F58" s="3"/>
      <c r="G58" s="3"/>
    </row>
    <row r="59" spans="5:7">
      <c r="E59" s="3"/>
      <c r="F59" s="3"/>
      <c r="G59" s="3"/>
    </row>
    <row r="60" spans="5:7">
      <c r="E60" s="3"/>
      <c r="F60" s="3"/>
      <c r="G60" s="3"/>
    </row>
    <row r="61" spans="5:7">
      <c r="E61" s="3"/>
      <c r="F61" s="3"/>
      <c r="G61" s="3"/>
    </row>
    <row r="62" spans="5:7">
      <c r="E62" s="3"/>
      <c r="F62" s="3"/>
      <c r="G62" s="3"/>
    </row>
    <row r="63" spans="5:7">
      <c r="E63" s="3"/>
      <c r="F63" s="3"/>
      <c r="G63" s="3"/>
    </row>
    <row r="64" spans="5:7">
      <c r="E64" s="3"/>
      <c r="F64" s="3"/>
      <c r="G64" s="3"/>
    </row>
    <row r="65" spans="5:7">
      <c r="E65" s="3"/>
      <c r="F65" s="3"/>
      <c r="G65" s="3"/>
    </row>
    <row r="66" spans="5:7">
      <c r="E66" s="3"/>
      <c r="F66" s="3"/>
      <c r="G66" s="3"/>
    </row>
    <row r="67" spans="5:7">
      <c r="E67" s="3"/>
      <c r="F67" s="3"/>
      <c r="G67" s="3"/>
    </row>
    <row r="68" spans="5:7">
      <c r="E68" s="3"/>
      <c r="F68" s="3"/>
      <c r="G68" s="3"/>
    </row>
    <row r="69" spans="5:7">
      <c r="E69" s="3"/>
      <c r="F69" s="3"/>
      <c r="G69" s="3"/>
    </row>
    <row r="70" spans="5:7">
      <c r="E70" s="3"/>
      <c r="F70" s="3"/>
      <c r="G70" s="3"/>
    </row>
    <row r="71" spans="5:7">
      <c r="E71" s="3"/>
      <c r="F71" s="3"/>
      <c r="G71" s="3"/>
    </row>
    <row r="72" spans="5:7">
      <c r="E72" s="3"/>
      <c r="F72" s="3"/>
      <c r="G72" s="3"/>
    </row>
    <row r="73" spans="5:7">
      <c r="E73" s="3"/>
      <c r="F73" s="3"/>
      <c r="G73" s="3"/>
    </row>
    <row r="74" spans="5:7">
      <c r="E74" s="3"/>
      <c r="F74" s="3"/>
      <c r="G74" s="3"/>
    </row>
    <row r="75" spans="5:7">
      <c r="E75" s="3"/>
      <c r="F75" s="3"/>
      <c r="G75" s="3"/>
    </row>
    <row r="76" spans="5:7">
      <c r="E76" s="3"/>
      <c r="F76" s="3"/>
      <c r="G76" s="3"/>
    </row>
    <row r="77" spans="5:7">
      <c r="E77" s="3"/>
      <c r="F77" s="3"/>
      <c r="G77" s="3"/>
    </row>
    <row r="78" spans="5:7">
      <c r="E78" s="3"/>
      <c r="F78" s="3"/>
      <c r="G78" s="3"/>
    </row>
    <row r="79" spans="5:7">
      <c r="E79" s="3"/>
      <c r="F79" s="3"/>
      <c r="G79" s="3"/>
    </row>
    <row r="80" spans="5:7">
      <c r="E80" s="3"/>
      <c r="F80" s="3"/>
      <c r="G80" s="3"/>
    </row>
    <row r="81" spans="5:7">
      <c r="E81" s="3"/>
      <c r="F81" s="3"/>
      <c r="G81" s="3"/>
    </row>
    <row r="82" spans="5:7">
      <c r="E82" s="3"/>
      <c r="F82" s="3"/>
      <c r="G82" s="3"/>
    </row>
    <row r="83" spans="5:7">
      <c r="E83" s="3"/>
      <c r="F83" s="3"/>
      <c r="G83" s="3"/>
    </row>
    <row r="84" spans="5:7">
      <c r="E84" s="3"/>
      <c r="F84" s="3"/>
      <c r="G84" s="3"/>
    </row>
    <row r="85" spans="5:7">
      <c r="E85" s="3"/>
      <c r="F85" s="3"/>
      <c r="G85" s="3"/>
    </row>
    <row r="86" spans="5:7">
      <c r="E86" s="3"/>
      <c r="F86" s="3"/>
      <c r="G86" s="3"/>
    </row>
    <row r="87" spans="5:7">
      <c r="E87" s="3"/>
      <c r="F87" s="3"/>
      <c r="G87" s="3"/>
    </row>
    <row r="88" spans="5:7">
      <c r="E88" s="3"/>
      <c r="F88" s="3"/>
      <c r="G88" s="3"/>
    </row>
    <row r="89" spans="5:7">
      <c r="E89" s="3"/>
      <c r="F89" s="3"/>
      <c r="G89" s="3"/>
    </row>
    <row r="90" spans="5:7">
      <c r="E90" s="3"/>
      <c r="F90" s="3"/>
      <c r="G90" s="3"/>
    </row>
    <row r="91" spans="5:7">
      <c r="E91" s="3"/>
      <c r="F91" s="3"/>
      <c r="G91" s="3"/>
    </row>
    <row r="92" spans="5:7">
      <c r="E92" s="3"/>
      <c r="F92" s="3"/>
      <c r="G92" s="3"/>
    </row>
    <row r="93" spans="5:7">
      <c r="E93" s="3"/>
      <c r="F93" s="3"/>
      <c r="G93" s="3"/>
    </row>
    <row r="94" spans="5:7">
      <c r="E94" s="3"/>
      <c r="F94" s="3"/>
      <c r="G94" s="3"/>
    </row>
    <row r="95" spans="5:7">
      <c r="E95" s="3"/>
      <c r="F95" s="3"/>
      <c r="G95" s="3"/>
    </row>
    <row r="96" spans="5:7">
      <c r="E96" s="3"/>
      <c r="F96" s="3"/>
      <c r="G96" s="3"/>
    </row>
    <row r="97" spans="5:7">
      <c r="E97" s="3"/>
      <c r="F97" s="3"/>
      <c r="G97" s="3"/>
    </row>
    <row r="98" spans="5:7">
      <c r="E98" s="3"/>
      <c r="F98" s="3"/>
      <c r="G98" s="3"/>
    </row>
    <row r="99" spans="5:7">
      <c r="E99" s="3"/>
      <c r="F99" s="3"/>
      <c r="G99" s="3"/>
    </row>
    <row r="100" spans="5:7">
      <c r="E100" s="3"/>
      <c r="F100" s="3"/>
      <c r="G100" s="3"/>
    </row>
    <row r="101" spans="5:7">
      <c r="E101" s="3"/>
      <c r="F101" s="3"/>
      <c r="G101" s="3"/>
    </row>
    <row r="102" spans="5:7">
      <c r="E102" s="3"/>
      <c r="F102" s="3"/>
      <c r="G102" s="3"/>
    </row>
    <row r="103" spans="5:7">
      <c r="E103" s="3"/>
      <c r="F103" s="3"/>
      <c r="G103" s="3"/>
    </row>
    <row r="104" spans="5:7">
      <c r="E104" s="3"/>
      <c r="F104" s="3"/>
      <c r="G104" s="3"/>
    </row>
    <row r="105" spans="5:7">
      <c r="E105" s="3"/>
      <c r="F105" s="3"/>
      <c r="G105" s="3"/>
    </row>
    <row r="106" spans="5:7">
      <c r="E106" s="3"/>
      <c r="F106" s="3"/>
      <c r="G106" s="3"/>
    </row>
    <row r="107" spans="5:7">
      <c r="E107" s="3"/>
      <c r="F107" s="3"/>
      <c r="G107" s="3"/>
    </row>
    <row r="108" spans="5:7">
      <c r="E108" s="3"/>
      <c r="F108" s="3"/>
      <c r="G108" s="3"/>
    </row>
    <row r="109" spans="5:7">
      <c r="E109" s="3"/>
      <c r="F109" s="3"/>
      <c r="G109" s="3"/>
    </row>
    <row r="110" spans="5:7">
      <c r="E110" s="3"/>
      <c r="F110" s="3"/>
      <c r="G110" s="3"/>
    </row>
    <row r="111" spans="5:7">
      <c r="E111" s="3"/>
      <c r="F111" s="3"/>
      <c r="G111" s="3"/>
    </row>
    <row r="112" spans="5:7">
      <c r="E112" s="3"/>
      <c r="F112" s="3"/>
      <c r="G112" s="3"/>
    </row>
    <row r="113" spans="5:7">
      <c r="E113" s="3"/>
      <c r="F113" s="3"/>
      <c r="G113" s="3"/>
    </row>
    <row r="114" spans="5:7">
      <c r="E114" s="3"/>
      <c r="F114" s="3"/>
      <c r="G114" s="3"/>
    </row>
    <row r="115" spans="5:7">
      <c r="E115" s="3"/>
      <c r="F115" s="3"/>
      <c r="G115" s="3"/>
    </row>
    <row r="116" spans="5:7">
      <c r="E116" s="3"/>
      <c r="F116" s="3"/>
      <c r="G116" s="3"/>
    </row>
    <row r="117" spans="5:7">
      <c r="E117" s="3"/>
      <c r="F117" s="3"/>
      <c r="G117" s="3"/>
    </row>
    <row r="118" spans="5:7">
      <c r="E118" s="3"/>
      <c r="F118" s="3"/>
      <c r="G118" s="3"/>
    </row>
    <row r="119" spans="5:7">
      <c r="E119" s="3"/>
      <c r="F119" s="3"/>
      <c r="G119" s="3"/>
    </row>
    <row r="120" spans="5:7">
      <c r="E120" s="3"/>
      <c r="F120" s="3"/>
      <c r="G120" s="3"/>
    </row>
    <row r="121" spans="5:7">
      <c r="E121" s="3"/>
      <c r="F121" s="3"/>
      <c r="G121" s="3"/>
    </row>
    <row r="122" spans="5:7">
      <c r="E122" s="3"/>
      <c r="F122" s="3"/>
      <c r="G122" s="3"/>
    </row>
    <row r="123" spans="5:7">
      <c r="E123" s="3"/>
      <c r="F123" s="3"/>
      <c r="G123" s="3"/>
    </row>
    <row r="124" spans="5:7">
      <c r="E124" s="3"/>
      <c r="F124" s="3"/>
      <c r="G124" s="3"/>
    </row>
    <row r="125" spans="5:7">
      <c r="E125" s="3"/>
      <c r="F125" s="3"/>
      <c r="G125" s="3"/>
    </row>
    <row r="126" spans="5:7">
      <c r="E126" s="3"/>
      <c r="F126" s="3"/>
      <c r="G126" s="3"/>
    </row>
    <row r="127" spans="5:7">
      <c r="E127" s="3"/>
      <c r="F127" s="3"/>
      <c r="G127" s="3"/>
    </row>
    <row r="128" spans="5:7">
      <c r="E128" s="3"/>
      <c r="F128" s="3"/>
      <c r="G128" s="3"/>
    </row>
    <row r="129" spans="5:7">
      <c r="E129" s="3"/>
      <c r="F129" s="3"/>
      <c r="G129" s="3"/>
    </row>
    <row r="130" spans="5:7">
      <c r="E130" s="3"/>
      <c r="F130" s="3"/>
      <c r="G130" s="3"/>
    </row>
    <row r="131" spans="5:7">
      <c r="E131" s="3"/>
      <c r="F131" s="3"/>
      <c r="G131" s="3"/>
    </row>
    <row r="132" spans="5:7">
      <c r="E132" s="3"/>
      <c r="F132" s="3"/>
      <c r="G132" s="3"/>
    </row>
    <row r="133" spans="5:7">
      <c r="E133" s="3"/>
      <c r="F133" s="3"/>
      <c r="G133" s="3"/>
    </row>
    <row r="134" spans="5:7">
      <c r="E134" s="3"/>
      <c r="F134" s="3"/>
      <c r="G134" s="3"/>
    </row>
    <row r="135" spans="5:7">
      <c r="E135" s="3"/>
      <c r="F135" s="3"/>
      <c r="G135" s="3"/>
    </row>
    <row r="136" spans="5:7">
      <c r="E136" s="3"/>
      <c r="F136" s="3"/>
      <c r="G136" s="3"/>
    </row>
    <row r="137" spans="5:7">
      <c r="E137" s="3"/>
      <c r="F137" s="3"/>
      <c r="G137" s="3"/>
    </row>
    <row r="138" spans="5:7">
      <c r="E138" s="3"/>
      <c r="F138" s="3"/>
      <c r="G138" s="3"/>
    </row>
    <row r="139" spans="5:7">
      <c r="E139" s="3"/>
      <c r="F139" s="3"/>
      <c r="G139" s="3"/>
    </row>
    <row r="140" spans="5:7">
      <c r="E140" s="3"/>
      <c r="F140" s="3"/>
      <c r="G140" s="3"/>
    </row>
    <row r="141" spans="5:7">
      <c r="E141" s="3"/>
      <c r="F141" s="3"/>
      <c r="G141" s="3"/>
    </row>
    <row r="142" spans="5:7">
      <c r="E142" s="3"/>
      <c r="F142" s="3"/>
      <c r="G142" s="3"/>
    </row>
    <row r="143" spans="5:7">
      <c r="E143" s="3"/>
      <c r="F143" s="3"/>
      <c r="G143" s="3"/>
    </row>
    <row r="144" spans="5:7">
      <c r="E144" s="3"/>
      <c r="F144" s="3"/>
      <c r="G144" s="3"/>
    </row>
    <row r="145" spans="5:7">
      <c r="E145" s="3"/>
      <c r="F145" s="3"/>
      <c r="G145" s="3"/>
    </row>
    <row r="146" spans="5:7">
      <c r="E146" s="3"/>
      <c r="F146" s="3"/>
      <c r="G146" s="3"/>
    </row>
    <row r="147" spans="5:7">
      <c r="E147" s="3"/>
      <c r="F147" s="3"/>
      <c r="G147" s="3"/>
    </row>
    <row r="148" spans="5:7">
      <c r="E148" s="3"/>
      <c r="F148" s="3"/>
      <c r="G148" s="3"/>
    </row>
    <row r="149" spans="5:7">
      <c r="E149" s="3"/>
      <c r="F149" s="3"/>
      <c r="G149" s="3"/>
    </row>
    <row r="150" spans="5:7">
      <c r="E150" s="3"/>
      <c r="F150" s="3"/>
      <c r="G150" s="3"/>
    </row>
    <row r="151" spans="5:7">
      <c r="E151" s="3"/>
      <c r="F151" s="3"/>
      <c r="G151" s="3"/>
    </row>
    <row r="152" spans="5:7">
      <c r="E152" s="3"/>
      <c r="F152" s="3"/>
      <c r="G152" s="3"/>
    </row>
    <row r="153" spans="5:7">
      <c r="E153" s="3"/>
      <c r="F153" s="3"/>
      <c r="G153" s="3"/>
    </row>
    <row r="154" spans="5:7">
      <c r="E154" s="3"/>
      <c r="F154" s="3"/>
      <c r="G154" s="3"/>
    </row>
    <row r="155" spans="5:7">
      <c r="E155" s="3"/>
      <c r="F155" s="3"/>
      <c r="G155" s="3"/>
    </row>
    <row r="156" spans="5:7">
      <c r="E156" s="3"/>
      <c r="F156" s="3"/>
      <c r="G156" s="3"/>
    </row>
    <row r="157" spans="5:7">
      <c r="E157" s="3"/>
      <c r="F157" s="3"/>
      <c r="G157" s="3"/>
    </row>
    <row r="158" spans="5:7">
      <c r="E158" s="3"/>
      <c r="F158" s="3"/>
      <c r="G158" s="3"/>
    </row>
    <row r="159" spans="5:7">
      <c r="E159" s="3"/>
      <c r="F159" s="3"/>
      <c r="G159" s="3"/>
    </row>
    <row r="160" spans="5:7">
      <c r="E160" s="3"/>
      <c r="F160" s="3"/>
      <c r="G160" s="3"/>
    </row>
    <row r="161" spans="5:7">
      <c r="E161" s="3"/>
      <c r="F161" s="3"/>
      <c r="G161" s="3"/>
    </row>
    <row r="162" spans="5:7">
      <c r="E162" s="3"/>
      <c r="F162" s="3"/>
      <c r="G162" s="3"/>
    </row>
    <row r="163" spans="5:7">
      <c r="E163" s="3"/>
      <c r="F163" s="3"/>
      <c r="G163" s="3"/>
    </row>
    <row r="164" spans="5:7">
      <c r="E164" s="3"/>
      <c r="F164" s="3"/>
      <c r="G164" s="3"/>
    </row>
    <row r="165" spans="5:7">
      <c r="E165" s="3"/>
      <c r="F165" s="3"/>
      <c r="G165" s="3"/>
    </row>
    <row r="166" spans="5:7">
      <c r="E166" s="3"/>
      <c r="F166" s="3"/>
      <c r="G166" s="3"/>
    </row>
    <row r="167" spans="5:7">
      <c r="E167" s="3"/>
      <c r="F167" s="3"/>
      <c r="G167" s="3"/>
    </row>
    <row r="168" spans="5:7">
      <c r="E168" s="3"/>
      <c r="F168" s="3"/>
      <c r="G168" s="3"/>
    </row>
    <row r="169" spans="5:7">
      <c r="E169" s="3"/>
      <c r="F169" s="3"/>
      <c r="G169" s="3"/>
    </row>
    <row r="170" spans="5:7">
      <c r="E170" s="3"/>
      <c r="F170" s="3"/>
      <c r="G170" s="3"/>
    </row>
    <row r="171" spans="5:7">
      <c r="E171" s="3"/>
      <c r="F171" s="3"/>
      <c r="G171" s="3"/>
    </row>
    <row r="172" spans="5:7">
      <c r="E172" s="3"/>
      <c r="F172" s="3"/>
      <c r="G172" s="3"/>
    </row>
    <row r="173" spans="5:7">
      <c r="E173" s="3"/>
      <c r="F173" s="3"/>
      <c r="G173" s="3"/>
    </row>
    <row r="174" spans="5:7">
      <c r="E174" s="3"/>
      <c r="F174" s="3"/>
      <c r="G174" s="3"/>
    </row>
    <row r="175" spans="5:7">
      <c r="E175" s="3"/>
      <c r="F175" s="3"/>
      <c r="G175" s="3"/>
    </row>
    <row r="176" spans="5:7">
      <c r="E176" s="3"/>
      <c r="F176" s="3"/>
      <c r="G176" s="3"/>
    </row>
    <row r="177" spans="5:7">
      <c r="E177" s="3"/>
      <c r="F177" s="3"/>
      <c r="G177" s="3"/>
    </row>
    <row r="178" spans="5:7">
      <c r="E178" s="3"/>
      <c r="F178" s="3"/>
      <c r="G178" s="3"/>
    </row>
    <row r="179" spans="5:7">
      <c r="E179" s="3"/>
      <c r="F179" s="3"/>
      <c r="G179" s="3"/>
    </row>
    <row r="180" spans="5:7">
      <c r="E180" s="3"/>
      <c r="F180" s="3"/>
      <c r="G180" s="3"/>
    </row>
    <row r="181" spans="5:7">
      <c r="E181" s="3"/>
      <c r="F181" s="3"/>
      <c r="G181" s="3"/>
    </row>
    <row r="182" spans="5:7">
      <c r="E182" s="3"/>
      <c r="F182" s="3"/>
      <c r="G182" s="3"/>
    </row>
    <row r="183" spans="5:7">
      <c r="E183" s="3"/>
      <c r="F183" s="3"/>
      <c r="G183" s="3"/>
    </row>
    <row r="184" spans="5:7">
      <c r="E184" s="3"/>
      <c r="F184" s="3"/>
      <c r="G184" s="3"/>
    </row>
    <row r="185" spans="5:7">
      <c r="E185" s="3"/>
      <c r="F185" s="3"/>
      <c r="G185" s="3"/>
    </row>
    <row r="186" spans="5:7">
      <c r="E186" s="3"/>
      <c r="F186" s="3"/>
      <c r="G186" s="3"/>
    </row>
    <row r="187" spans="5:7">
      <c r="E187" s="3"/>
      <c r="F187" s="3"/>
      <c r="G187" s="3"/>
    </row>
    <row r="188" spans="5:7">
      <c r="E188" s="3"/>
      <c r="F188" s="3"/>
      <c r="G188" s="3"/>
    </row>
    <row r="189" spans="5:7">
      <c r="E189" s="3"/>
      <c r="F189" s="3"/>
      <c r="G189" s="3"/>
    </row>
    <row r="190" spans="5:7">
      <c r="E190" s="3"/>
      <c r="F190" s="3"/>
      <c r="G190" s="3"/>
    </row>
    <row r="191" spans="5:7">
      <c r="E191" s="3"/>
      <c r="F191" s="3"/>
      <c r="G191" s="3"/>
    </row>
    <row r="192" spans="5:7">
      <c r="E192" s="3"/>
      <c r="F192" s="3"/>
      <c r="G192" s="3"/>
    </row>
    <row r="193" spans="5:7">
      <c r="E193" s="3"/>
      <c r="F193" s="3"/>
      <c r="G193" s="3"/>
    </row>
    <row r="194" spans="5:7">
      <c r="E194" s="3"/>
      <c r="F194" s="3"/>
      <c r="G194" s="3"/>
    </row>
    <row r="195" spans="5:7">
      <c r="E195" s="3"/>
      <c r="F195" s="3"/>
      <c r="G195" s="3"/>
    </row>
    <row r="196" spans="5:7">
      <c r="E196" s="3"/>
      <c r="F196" s="3"/>
      <c r="G196" s="3"/>
    </row>
    <row r="197" spans="5:7">
      <c r="E197" s="3"/>
      <c r="F197" s="3"/>
      <c r="G197" s="3"/>
    </row>
    <row r="198" spans="5:7">
      <c r="E198" s="3"/>
      <c r="F198" s="3"/>
      <c r="G198" s="3"/>
    </row>
    <row r="199" spans="5:7">
      <c r="E199" s="3"/>
      <c r="F199" s="3"/>
      <c r="G199" s="3"/>
    </row>
    <row r="200" spans="5:7">
      <c r="E200" s="3"/>
      <c r="F200" s="3"/>
      <c r="G200" s="3"/>
    </row>
    <row r="201" spans="5:7">
      <c r="E201" s="3"/>
      <c r="F201" s="3"/>
      <c r="G201" s="3"/>
    </row>
    <row r="202" spans="5:7">
      <c r="E202" s="3"/>
      <c r="F202" s="3"/>
      <c r="G202" s="3"/>
    </row>
    <row r="203" spans="5:7">
      <c r="E203" s="3"/>
      <c r="F203" s="3"/>
      <c r="G203" s="3"/>
    </row>
    <row r="204" spans="5:7">
      <c r="E204" s="3"/>
      <c r="F204" s="3"/>
      <c r="G204" s="3"/>
    </row>
    <row r="205" spans="5:7">
      <c r="E205" s="3"/>
      <c r="F205" s="3"/>
      <c r="G205" s="3"/>
    </row>
    <row r="206" spans="5:7">
      <c r="E206" s="3"/>
      <c r="F206" s="3"/>
      <c r="G206" s="3"/>
    </row>
    <row r="207" spans="5:7">
      <c r="E207" s="3"/>
      <c r="F207" s="3"/>
      <c r="G207" s="3"/>
    </row>
    <row r="208" spans="5:7">
      <c r="E208" s="3"/>
      <c r="F208" s="3"/>
      <c r="G208" s="3"/>
    </row>
    <row r="209" spans="5:7">
      <c r="E209" s="3"/>
      <c r="F209" s="3"/>
      <c r="G209" s="3"/>
    </row>
    <row r="210" spans="5:7">
      <c r="E210" s="3"/>
      <c r="F210" s="3"/>
      <c r="G210" s="3"/>
    </row>
    <row r="211" spans="5:7">
      <c r="E211" s="3"/>
      <c r="F211" s="3"/>
      <c r="G211" s="3"/>
    </row>
    <row r="212" spans="5:7">
      <c r="E212" s="3"/>
      <c r="F212" s="3"/>
      <c r="G212" s="3"/>
    </row>
    <row r="213" spans="5:7">
      <c r="E213" s="3"/>
      <c r="F213" s="3"/>
      <c r="G213" s="3"/>
    </row>
    <row r="214" spans="5:7">
      <c r="E214" s="3"/>
      <c r="F214" s="3"/>
      <c r="G214" s="3"/>
    </row>
    <row r="215" spans="5:7">
      <c r="E215" s="3"/>
      <c r="F215" s="3"/>
      <c r="G215" s="3"/>
    </row>
    <row r="216" spans="5:7">
      <c r="E216" s="3"/>
      <c r="F216" s="3"/>
      <c r="G216" s="3"/>
    </row>
    <row r="217" spans="5:7">
      <c r="E217" s="3"/>
      <c r="F217" s="3"/>
      <c r="G217" s="3"/>
    </row>
    <row r="218" spans="5:7">
      <c r="E218" s="3"/>
      <c r="F218" s="3"/>
      <c r="G218" s="3"/>
    </row>
    <row r="219" spans="5:7">
      <c r="E219" s="3"/>
      <c r="F219" s="3"/>
      <c r="G219" s="3"/>
    </row>
    <row r="220" spans="5:7">
      <c r="E220" s="3"/>
      <c r="F220" s="3"/>
      <c r="G220" s="3"/>
    </row>
    <row r="221" spans="5:7">
      <c r="E221" s="3"/>
      <c r="F221" s="3"/>
      <c r="G221" s="3"/>
    </row>
    <row r="222" spans="5:7">
      <c r="E222" s="3"/>
      <c r="F222" s="3"/>
      <c r="G222" s="3"/>
    </row>
    <row r="223" spans="5:7">
      <c r="E223" s="3"/>
      <c r="F223" s="3"/>
      <c r="G223" s="3"/>
    </row>
    <row r="224" spans="5:7">
      <c r="E224" s="3"/>
      <c r="F224" s="3"/>
      <c r="G224" s="3"/>
    </row>
    <row r="225" spans="5:7">
      <c r="E225" s="3"/>
      <c r="F225" s="3"/>
      <c r="G225" s="3"/>
    </row>
    <row r="226" spans="5:7">
      <c r="E226" s="3"/>
      <c r="F226" s="3"/>
      <c r="G226" s="3"/>
    </row>
    <row r="227" spans="5:7">
      <c r="E227" s="3"/>
      <c r="F227" s="3"/>
      <c r="G227" s="3"/>
    </row>
    <row r="228" spans="5:7">
      <c r="E228" s="3"/>
      <c r="F228" s="3"/>
      <c r="G228" s="3"/>
    </row>
    <row r="229" spans="5:7">
      <c r="E229" s="3"/>
      <c r="F229" s="3"/>
      <c r="G229" s="3"/>
    </row>
    <row r="230" spans="5:7">
      <c r="E230" s="3"/>
      <c r="F230" s="3"/>
      <c r="G230" s="3"/>
    </row>
    <row r="231" spans="5:7">
      <c r="E231" s="3"/>
      <c r="F231" s="3"/>
      <c r="G231" s="3"/>
    </row>
    <row r="232" spans="5:7">
      <c r="E232" s="3"/>
      <c r="F232" s="3"/>
      <c r="G232" s="3"/>
    </row>
    <row r="233" spans="5:7">
      <c r="E233" s="3"/>
      <c r="F233" s="3"/>
      <c r="G233" s="3"/>
    </row>
    <row r="234" spans="5:7">
      <c r="E234" s="3"/>
      <c r="F234" s="3"/>
      <c r="G234" s="3"/>
    </row>
    <row r="235" spans="5:7">
      <c r="E235" s="3"/>
      <c r="F235" s="3"/>
      <c r="G235" s="3"/>
    </row>
    <row r="236" spans="5:7">
      <c r="E236" s="3"/>
      <c r="F236" s="3"/>
      <c r="G236" s="3"/>
    </row>
    <row r="237" spans="5:7">
      <c r="E237" s="3"/>
      <c r="F237" s="3"/>
      <c r="G237" s="3"/>
    </row>
    <row r="238" spans="5:7">
      <c r="E238" s="3"/>
      <c r="F238" s="3"/>
      <c r="G238" s="3"/>
    </row>
    <row r="239" spans="5:7">
      <c r="E239" s="3"/>
      <c r="F239" s="3"/>
      <c r="G239" s="3"/>
    </row>
    <row r="240" spans="5:7">
      <c r="E240" s="3"/>
      <c r="F240" s="3"/>
      <c r="G240" s="3"/>
    </row>
    <row r="241" spans="5:7">
      <c r="E241" s="3"/>
      <c r="F241" s="3"/>
      <c r="G241" s="3"/>
    </row>
    <row r="242" spans="5:7">
      <c r="E242" s="3"/>
      <c r="F242" s="3"/>
      <c r="G242" s="3"/>
    </row>
    <row r="243" spans="5:7">
      <c r="E243" s="3"/>
      <c r="F243" s="3"/>
      <c r="G243" s="3"/>
    </row>
    <row r="244" spans="5:7">
      <c r="E244" s="3"/>
      <c r="F244" s="3"/>
      <c r="G244" s="3"/>
    </row>
    <row r="245" spans="5:7">
      <c r="E245" s="3"/>
      <c r="F245" s="3"/>
      <c r="G245" s="3"/>
    </row>
    <row r="246" spans="5:7">
      <c r="E246" s="3"/>
      <c r="F246" s="3"/>
      <c r="G246" s="3"/>
    </row>
    <row r="247" spans="5:7">
      <c r="E247" s="3"/>
      <c r="F247" s="3"/>
      <c r="G247" s="3"/>
    </row>
    <row r="248" spans="5:7">
      <c r="E248" s="3"/>
      <c r="F248" s="3"/>
      <c r="G248" s="3"/>
    </row>
    <row r="249" spans="5:7">
      <c r="E249" s="3"/>
      <c r="F249" s="3"/>
      <c r="G249" s="3"/>
    </row>
    <row r="250" spans="5:7">
      <c r="E250" s="3"/>
      <c r="F250" s="3"/>
      <c r="G250" s="3"/>
    </row>
    <row r="251" spans="5:7">
      <c r="E251" s="3"/>
      <c r="F251" s="3"/>
      <c r="G251" s="3"/>
    </row>
    <row r="252" spans="5:7">
      <c r="E252" s="3"/>
      <c r="F252" s="3"/>
      <c r="G252" s="3"/>
    </row>
    <row r="253" spans="5:7">
      <c r="E253" s="3"/>
      <c r="F253" s="3"/>
      <c r="G253" s="3"/>
    </row>
    <row r="254" spans="5:7">
      <c r="E254" s="3"/>
      <c r="F254" s="3"/>
      <c r="G254" s="3"/>
    </row>
    <row r="255" spans="5:7">
      <c r="E255" s="3"/>
      <c r="F255" s="3"/>
      <c r="G255" s="3"/>
    </row>
    <row r="256" spans="5:7">
      <c r="E256" s="3"/>
      <c r="F256" s="3"/>
      <c r="G256" s="3"/>
    </row>
    <row r="257" spans="5:7">
      <c r="E257" s="3"/>
      <c r="F257" s="3"/>
      <c r="G257" s="3"/>
    </row>
    <row r="258" spans="5:7">
      <c r="E258" s="3"/>
      <c r="F258" s="3"/>
      <c r="G258" s="3"/>
    </row>
    <row r="259" spans="5:7">
      <c r="E259" s="3"/>
      <c r="F259" s="3"/>
      <c r="G259" s="3"/>
    </row>
    <row r="260" spans="5:7">
      <c r="E260" s="3"/>
      <c r="F260" s="3"/>
      <c r="G260" s="3"/>
    </row>
    <row r="261" spans="5:7">
      <c r="E261" s="3"/>
      <c r="F261" s="3"/>
      <c r="G261" s="3"/>
    </row>
    <row r="262" spans="5:7">
      <c r="E262" s="3"/>
      <c r="F262" s="3"/>
      <c r="G262" s="3"/>
    </row>
    <row r="263" spans="5:7">
      <c r="E263" s="3"/>
      <c r="F263" s="3"/>
      <c r="G263" s="3"/>
    </row>
    <row r="264" spans="5:7">
      <c r="E264" s="3"/>
      <c r="F264" s="3"/>
      <c r="G264" s="3"/>
    </row>
    <row r="265" spans="5:7">
      <c r="E265" s="3"/>
      <c r="F265" s="3"/>
      <c r="G265" s="3"/>
    </row>
    <row r="266" spans="5:7">
      <c r="E266" s="3"/>
      <c r="F266" s="3"/>
      <c r="G266" s="3"/>
    </row>
    <row r="267" spans="5:7">
      <c r="E267" s="3"/>
      <c r="F267" s="3"/>
      <c r="G267" s="3"/>
    </row>
    <row r="268" spans="5:7">
      <c r="E268" s="3"/>
      <c r="F268" s="3"/>
      <c r="G268" s="3"/>
    </row>
    <row r="269" spans="5:7">
      <c r="E269" s="3"/>
      <c r="F269" s="3"/>
      <c r="G269" s="3"/>
    </row>
    <row r="270" spans="5:7">
      <c r="E270" s="3"/>
      <c r="F270" s="3"/>
      <c r="G270" s="3"/>
    </row>
    <row r="271" spans="5:7">
      <c r="E271" s="3"/>
      <c r="F271" s="3"/>
      <c r="G271" s="3"/>
    </row>
    <row r="272" spans="5:7">
      <c r="E272" s="3"/>
      <c r="F272" s="3"/>
      <c r="G272" s="3"/>
    </row>
    <row r="273" spans="5:7">
      <c r="E273" s="3"/>
      <c r="F273" s="3"/>
      <c r="G273" s="3"/>
    </row>
    <row r="274" spans="5:7">
      <c r="E274" s="3"/>
      <c r="F274" s="3"/>
      <c r="G274" s="3"/>
    </row>
    <row r="275" spans="5:7">
      <c r="E275" s="3"/>
      <c r="F275" s="3"/>
      <c r="G275" s="3"/>
    </row>
    <row r="276" spans="5:7">
      <c r="E276" s="3"/>
      <c r="F276" s="3"/>
      <c r="G276" s="3"/>
    </row>
    <row r="277" spans="5:7">
      <c r="E277" s="3"/>
      <c r="F277" s="3"/>
      <c r="G277" s="3"/>
    </row>
    <row r="278" spans="5:7">
      <c r="E278" s="3"/>
      <c r="F278" s="3"/>
      <c r="G278" s="3"/>
    </row>
    <row r="279" spans="5:7">
      <c r="E279" s="3"/>
      <c r="F279" s="3"/>
      <c r="G279" s="3"/>
    </row>
    <row r="280" spans="5:7">
      <c r="E280" s="3"/>
      <c r="F280" s="3"/>
      <c r="G280" s="3"/>
    </row>
    <row r="281" spans="5:7">
      <c r="E281" s="3"/>
      <c r="F281" s="3"/>
      <c r="G281" s="3"/>
    </row>
    <row r="282" spans="5:7">
      <c r="E282" s="3"/>
      <c r="F282" s="3"/>
      <c r="G282" s="3"/>
    </row>
    <row r="283" spans="5:7">
      <c r="E283" s="3"/>
      <c r="F283" s="3"/>
      <c r="G283" s="3"/>
    </row>
    <row r="284" spans="5:7">
      <c r="E284" s="3"/>
      <c r="F284" s="3"/>
      <c r="G284" s="3"/>
    </row>
    <row r="285" spans="5:7">
      <c r="E285" s="3"/>
      <c r="F285" s="3"/>
      <c r="G285" s="3"/>
    </row>
    <row r="286" spans="5:7">
      <c r="E286" s="3"/>
      <c r="F286" s="3"/>
      <c r="G286" s="3"/>
    </row>
    <row r="287" spans="5:7">
      <c r="E287" s="3"/>
      <c r="F287" s="3"/>
      <c r="G287" s="3"/>
    </row>
    <row r="288" spans="5:7">
      <c r="E288" s="3"/>
      <c r="F288" s="3"/>
      <c r="G288" s="3"/>
    </row>
    <row r="289" spans="5:7">
      <c r="E289" s="3"/>
      <c r="F289" s="3"/>
      <c r="G289" s="3"/>
    </row>
    <row r="290" spans="5:7">
      <c r="E290" s="3"/>
      <c r="F290" s="3"/>
      <c r="G290" s="3"/>
    </row>
    <row r="291" spans="5:7">
      <c r="E291" s="3"/>
      <c r="F291" s="3"/>
      <c r="G291" s="3"/>
    </row>
    <row r="292" spans="5:7">
      <c r="E292" s="3"/>
      <c r="F292" s="3"/>
      <c r="G292" s="3"/>
    </row>
    <row r="293" spans="5:7">
      <c r="E293" s="3"/>
      <c r="F293" s="3"/>
      <c r="G293" s="3"/>
    </row>
    <row r="294" spans="5:7">
      <c r="E294" s="3"/>
      <c r="F294" s="3"/>
      <c r="G294" s="3"/>
    </row>
    <row r="295" spans="5:7">
      <c r="E295" s="3"/>
      <c r="F295" s="3"/>
      <c r="G295" s="3"/>
    </row>
    <row r="296" spans="5:7">
      <c r="E296" s="3"/>
      <c r="F296" s="3"/>
      <c r="G296" s="3"/>
    </row>
    <row r="297" spans="5:7">
      <c r="E297" s="3"/>
      <c r="F297" s="3"/>
      <c r="G297" s="3"/>
    </row>
    <row r="298" spans="5:7">
      <c r="E298" s="3"/>
      <c r="F298" s="3"/>
      <c r="G298" s="3"/>
    </row>
    <row r="299" spans="5:7">
      <c r="E299" s="3"/>
      <c r="F299" s="3"/>
      <c r="G299" s="3"/>
    </row>
    <row r="300" spans="5:7">
      <c r="E300" s="3"/>
      <c r="F300" s="3"/>
      <c r="G300" s="3"/>
    </row>
    <row r="301" spans="5:7">
      <c r="E301" s="3"/>
      <c r="F301" s="3"/>
      <c r="G301" s="3"/>
    </row>
    <row r="302" spans="5:7">
      <c r="E302" s="3"/>
      <c r="F302" s="3"/>
      <c r="G302" s="3"/>
    </row>
    <row r="303" spans="5:7">
      <c r="E303" s="3"/>
      <c r="F303" s="3"/>
      <c r="G303" s="3"/>
    </row>
    <row r="304" spans="5:7">
      <c r="E304" s="3"/>
      <c r="F304" s="3"/>
      <c r="G304" s="3"/>
    </row>
    <row r="305" spans="5:7">
      <c r="E305" s="3"/>
      <c r="F305" s="3"/>
      <c r="G305" s="3"/>
    </row>
    <row r="306" spans="5:7">
      <c r="E306" s="3"/>
      <c r="F306" s="3"/>
      <c r="G306" s="3"/>
    </row>
    <row r="307" spans="5:7">
      <c r="E307" s="3"/>
      <c r="F307" s="3"/>
      <c r="G307" s="3"/>
    </row>
    <row r="308" spans="5:7">
      <c r="E308" s="3"/>
      <c r="F308" s="3"/>
      <c r="G308" s="3"/>
    </row>
    <row r="309" spans="5:7">
      <c r="E309" s="3"/>
      <c r="F309" s="3"/>
      <c r="G309" s="3"/>
    </row>
    <row r="310" spans="5:7">
      <c r="E310" s="3"/>
      <c r="F310" s="3"/>
      <c r="G310" s="3"/>
    </row>
    <row r="311" spans="5:7">
      <c r="E311" s="3"/>
      <c r="F311" s="3"/>
      <c r="G311" s="3"/>
    </row>
    <row r="312" spans="5:7">
      <c r="E312" s="3"/>
      <c r="F312" s="3"/>
      <c r="G312" s="3"/>
    </row>
    <row r="313" spans="5:7">
      <c r="E313" s="3"/>
      <c r="F313" s="3"/>
      <c r="G313" s="3"/>
    </row>
    <row r="314" spans="5:7">
      <c r="E314" s="3"/>
      <c r="F314" s="3"/>
      <c r="G314" s="3"/>
    </row>
    <row r="315" spans="5:7">
      <c r="E315" s="3"/>
      <c r="F315" s="3"/>
      <c r="G315" s="3"/>
    </row>
    <row r="316" spans="5:7">
      <c r="E316" s="3"/>
      <c r="F316" s="3"/>
      <c r="G316" s="3"/>
    </row>
    <row r="317" spans="5:7">
      <c r="E317" s="3"/>
      <c r="F317" s="3"/>
      <c r="G317" s="3"/>
    </row>
    <row r="318" spans="5:7">
      <c r="E318" s="3"/>
      <c r="F318" s="3"/>
      <c r="G318" s="3"/>
    </row>
    <row r="319" spans="5:7">
      <c r="E319" s="3"/>
      <c r="F319" s="3"/>
      <c r="G319" s="3"/>
    </row>
    <row r="320" spans="5:7">
      <c r="E320" s="3"/>
      <c r="F320" s="3"/>
      <c r="G320" s="3"/>
    </row>
    <row r="321" spans="5:7">
      <c r="E321" s="3"/>
      <c r="F321" s="3"/>
      <c r="G321" s="3"/>
    </row>
    <row r="322" spans="5:7">
      <c r="E322" s="3"/>
      <c r="F322" s="3"/>
      <c r="G322" s="3"/>
    </row>
    <row r="323" spans="5:7">
      <c r="E323" s="3"/>
      <c r="F323" s="3"/>
      <c r="G323" s="3"/>
    </row>
    <row r="324" spans="5:7">
      <c r="E324" s="3"/>
      <c r="F324" s="3"/>
      <c r="G324" s="3"/>
    </row>
    <row r="325" spans="5:7">
      <c r="E325" s="3"/>
      <c r="F325" s="3"/>
      <c r="G325" s="3"/>
    </row>
    <row r="326" spans="5:7">
      <c r="E326" s="3"/>
      <c r="F326" s="3"/>
      <c r="G326" s="3"/>
    </row>
    <row r="327" spans="5:7">
      <c r="E327" s="3"/>
      <c r="F327" s="3"/>
      <c r="G327" s="3"/>
    </row>
    <row r="328" spans="5:7">
      <c r="E328" s="3"/>
      <c r="F328" s="3"/>
      <c r="G328" s="3"/>
    </row>
    <row r="329" spans="5:7">
      <c r="E329" s="3"/>
      <c r="F329" s="3"/>
      <c r="G329" s="3"/>
    </row>
    <row r="330" spans="5:7">
      <c r="E330" s="3"/>
      <c r="F330" s="3"/>
      <c r="G330" s="3"/>
    </row>
    <row r="331" spans="5:7">
      <c r="E331" s="3"/>
      <c r="F331" s="3"/>
      <c r="G331" s="3"/>
    </row>
    <row r="332" spans="5:7">
      <c r="E332" s="3"/>
      <c r="F332" s="3"/>
      <c r="G332" s="3"/>
    </row>
    <row r="333" spans="5:7">
      <c r="E333" s="3"/>
      <c r="F333" s="3"/>
      <c r="G333" s="3"/>
    </row>
    <row r="334" spans="5:7">
      <c r="E334" s="3"/>
      <c r="F334" s="3"/>
      <c r="G334" s="3"/>
    </row>
    <row r="335" spans="5:7">
      <c r="E335" s="3"/>
      <c r="F335" s="3"/>
      <c r="G335" s="3"/>
    </row>
    <row r="336" spans="5:7">
      <c r="E336" s="3"/>
      <c r="F336" s="3"/>
      <c r="G336" s="3"/>
    </row>
    <row r="337" spans="5:7">
      <c r="E337" s="3"/>
      <c r="F337" s="3"/>
      <c r="G337" s="3"/>
    </row>
    <row r="338" spans="5:7">
      <c r="E338" s="3"/>
      <c r="F338" s="3"/>
      <c r="G338" s="3"/>
    </row>
    <row r="339" spans="5:7">
      <c r="E339" s="3"/>
      <c r="F339" s="3"/>
      <c r="G339" s="3"/>
    </row>
    <row r="340" spans="5:7">
      <c r="E340" s="3"/>
      <c r="F340" s="3"/>
      <c r="G340" s="3"/>
    </row>
    <row r="341" spans="5:7">
      <c r="E341" s="3"/>
      <c r="F341" s="3"/>
      <c r="G341" s="3"/>
    </row>
    <row r="342" spans="5:7">
      <c r="E342" s="3"/>
      <c r="F342" s="3"/>
      <c r="G342" s="3"/>
    </row>
    <row r="343" spans="5:7">
      <c r="E343" s="3"/>
      <c r="F343" s="3"/>
      <c r="G343" s="3"/>
    </row>
    <row r="344" spans="5:7">
      <c r="E344" s="3"/>
      <c r="F344" s="3"/>
      <c r="G344" s="3"/>
    </row>
    <row r="345" spans="5:7">
      <c r="E345" s="3"/>
      <c r="F345" s="3"/>
      <c r="G345" s="3"/>
    </row>
    <row r="346" spans="5:7">
      <c r="E346" s="3"/>
      <c r="F346" s="3"/>
      <c r="G346" s="3"/>
    </row>
    <row r="347" spans="5:7">
      <c r="E347" s="3"/>
      <c r="F347" s="3"/>
      <c r="G347" s="3"/>
    </row>
    <row r="348" spans="5:7">
      <c r="E348" s="3"/>
      <c r="F348" s="3"/>
      <c r="G348" s="3"/>
    </row>
    <row r="349" spans="5:7">
      <c r="E349" s="3"/>
      <c r="F349" s="3"/>
      <c r="G349" s="3"/>
    </row>
    <row r="350" spans="5:7">
      <c r="E350" s="3"/>
      <c r="F350" s="3"/>
      <c r="G350" s="3"/>
    </row>
    <row r="351" spans="5:7">
      <c r="E351" s="3"/>
      <c r="F351" s="3"/>
      <c r="G351" s="3"/>
    </row>
    <row r="352" spans="5:7">
      <c r="E352" s="3"/>
      <c r="F352" s="3"/>
      <c r="G352" s="3"/>
    </row>
    <row r="353" spans="5:7">
      <c r="E353" s="3"/>
      <c r="F353" s="3"/>
      <c r="G353" s="3"/>
    </row>
    <row r="354" spans="5:7">
      <c r="E354" s="3"/>
      <c r="F354" s="3"/>
      <c r="G354" s="3"/>
    </row>
    <row r="355" spans="5:7">
      <c r="E355" s="3"/>
      <c r="F355" s="3"/>
      <c r="G355" s="3"/>
    </row>
    <row r="356" spans="5:7">
      <c r="E356" s="3"/>
      <c r="F356" s="3"/>
      <c r="G356" s="3"/>
    </row>
    <row r="357" spans="5:7">
      <c r="E357" s="3"/>
      <c r="F357" s="3"/>
      <c r="G357" s="3"/>
    </row>
    <row r="358" spans="5:7">
      <c r="E358" s="3"/>
      <c r="F358" s="3"/>
      <c r="G358" s="3"/>
    </row>
    <row r="359" spans="5:7">
      <c r="E359" s="3"/>
      <c r="F359" s="3"/>
      <c r="G359" s="3"/>
    </row>
    <row r="360" spans="5:7">
      <c r="E360" s="3"/>
      <c r="F360" s="3"/>
      <c r="G360" s="3"/>
    </row>
    <row r="361" spans="5:7">
      <c r="E361" s="3"/>
      <c r="F361" s="3"/>
      <c r="G361" s="3"/>
    </row>
    <row r="362" spans="5:7">
      <c r="E362" s="3"/>
      <c r="F362" s="3"/>
      <c r="G362" s="3"/>
    </row>
    <row r="363" spans="5:7">
      <c r="E363" s="3"/>
      <c r="F363" s="3"/>
      <c r="G363" s="3"/>
    </row>
    <row r="364" spans="5:7">
      <c r="E364" s="3"/>
      <c r="F364" s="3"/>
      <c r="G364" s="3"/>
    </row>
    <row r="365" spans="5:7">
      <c r="E365" s="3"/>
      <c r="F365" s="3"/>
      <c r="G365" s="3"/>
    </row>
    <row r="366" spans="5:7">
      <c r="E366" s="3"/>
      <c r="F366" s="3"/>
      <c r="G366" s="3"/>
    </row>
    <row r="367" spans="5:7">
      <c r="E367" s="3"/>
      <c r="F367" s="3"/>
      <c r="G367" s="3"/>
    </row>
    <row r="368" spans="5:7">
      <c r="E368" s="3"/>
      <c r="F368" s="3"/>
      <c r="G368" s="3"/>
    </row>
    <row r="369" spans="5:7">
      <c r="E369" s="3"/>
      <c r="F369" s="3"/>
      <c r="G369" s="3"/>
    </row>
    <row r="370" spans="5:7">
      <c r="E370" s="3"/>
      <c r="F370" s="3"/>
      <c r="G370" s="3"/>
    </row>
    <row r="371" spans="5:7">
      <c r="E371" s="3"/>
      <c r="F371" s="3"/>
      <c r="G371" s="3"/>
    </row>
    <row r="372" spans="5:7">
      <c r="E372" s="3"/>
      <c r="F372" s="3"/>
      <c r="G372" s="3"/>
    </row>
    <row r="373" spans="5:7">
      <c r="E373" s="3"/>
      <c r="F373" s="3"/>
      <c r="G373" s="3"/>
    </row>
    <row r="374" spans="5:7">
      <c r="E374" s="3"/>
      <c r="F374" s="3"/>
      <c r="G374" s="3"/>
    </row>
    <row r="375" spans="5:7">
      <c r="E375" s="3"/>
      <c r="F375" s="3"/>
      <c r="G375" s="3"/>
    </row>
    <row r="376" spans="5:7">
      <c r="E376" s="3"/>
      <c r="F376" s="3"/>
      <c r="G376" s="3"/>
    </row>
    <row r="377" spans="5:7">
      <c r="E377" s="3"/>
      <c r="F377" s="3"/>
      <c r="G377" s="3"/>
    </row>
    <row r="378" spans="5:7">
      <c r="E378" s="3"/>
      <c r="F378" s="3"/>
      <c r="G378" s="3"/>
    </row>
    <row r="379" spans="5:7">
      <c r="E379" s="3"/>
      <c r="F379" s="3"/>
      <c r="G379" s="3"/>
    </row>
    <row r="380" spans="5:7">
      <c r="E380" s="3"/>
      <c r="F380" s="3"/>
      <c r="G380" s="3"/>
    </row>
    <row r="381" spans="5:7">
      <c r="E381" s="3"/>
      <c r="F381" s="3"/>
      <c r="G381" s="3"/>
    </row>
    <row r="382" spans="5:7">
      <c r="E382" s="3"/>
      <c r="F382" s="3"/>
      <c r="G382" s="3"/>
    </row>
    <row r="383" spans="5:7">
      <c r="E383" s="3"/>
      <c r="F383" s="3"/>
      <c r="G383" s="3"/>
    </row>
    <row r="384" spans="5:7">
      <c r="E384" s="3"/>
      <c r="F384" s="3"/>
      <c r="G384" s="3"/>
    </row>
    <row r="385" spans="5:7">
      <c r="E385" s="3"/>
      <c r="F385" s="3"/>
      <c r="G385" s="3"/>
    </row>
    <row r="386" spans="5:7">
      <c r="E386" s="3"/>
      <c r="F386" s="3"/>
      <c r="G386" s="3"/>
    </row>
    <row r="387" spans="5:7">
      <c r="E387" s="3"/>
      <c r="F387" s="3"/>
      <c r="G387" s="3"/>
    </row>
    <row r="388" spans="5:7">
      <c r="E388" s="3"/>
      <c r="F388" s="3"/>
      <c r="G388" s="3"/>
    </row>
    <row r="389" spans="5:7">
      <c r="E389" s="3"/>
      <c r="F389" s="3"/>
      <c r="G389" s="3"/>
    </row>
    <row r="390" spans="5:7">
      <c r="E390" s="3"/>
      <c r="F390" s="3"/>
      <c r="G390" s="3"/>
    </row>
    <row r="391" spans="5:7">
      <c r="E391" s="3"/>
      <c r="F391" s="3"/>
      <c r="G391" s="3"/>
    </row>
    <row r="392" spans="5:7">
      <c r="E392" s="3"/>
      <c r="F392" s="3"/>
      <c r="G392" s="3"/>
    </row>
    <row r="393" spans="5:7">
      <c r="E393" s="3"/>
      <c r="F393" s="3"/>
      <c r="G393" s="3"/>
    </row>
    <row r="394" spans="5:7">
      <c r="E394" s="3"/>
      <c r="F394" s="3"/>
      <c r="G394" s="3"/>
    </row>
    <row r="395" spans="5:7">
      <c r="E395" s="3"/>
      <c r="F395" s="3"/>
      <c r="G395" s="3"/>
    </row>
    <row r="396" spans="5:7">
      <c r="E396" s="3"/>
      <c r="F396" s="3"/>
      <c r="G396" s="3"/>
    </row>
    <row r="397" spans="5:7">
      <c r="E397" s="3"/>
      <c r="F397" s="3"/>
      <c r="G397" s="3"/>
    </row>
    <row r="398" spans="5:7">
      <c r="E398" s="3"/>
      <c r="F398" s="3"/>
      <c r="G398" s="3"/>
    </row>
    <row r="399" spans="5:7">
      <c r="E399" s="3"/>
      <c r="F399" s="3"/>
      <c r="G399" s="3"/>
    </row>
    <row r="400" spans="5:7">
      <c r="E400" s="3"/>
      <c r="F400" s="3"/>
      <c r="G400" s="3"/>
    </row>
    <row r="401" spans="5:7">
      <c r="E401" s="3"/>
      <c r="F401" s="3"/>
      <c r="G401" s="3"/>
    </row>
    <row r="402" spans="5:7">
      <c r="E402" s="3"/>
      <c r="F402" s="3"/>
      <c r="G402" s="3"/>
    </row>
    <row r="403" spans="5:7">
      <c r="E403" s="3"/>
      <c r="F403" s="3"/>
      <c r="G403" s="3"/>
    </row>
    <row r="404" spans="5:7">
      <c r="E404" s="3"/>
      <c r="F404" s="3"/>
      <c r="G404" s="3"/>
    </row>
    <row r="405" spans="5:7">
      <c r="E405" s="3"/>
      <c r="F405" s="3"/>
      <c r="G405" s="3"/>
    </row>
    <row r="406" spans="5:7">
      <c r="E406" s="3"/>
      <c r="F406" s="3"/>
      <c r="G406" s="3"/>
    </row>
    <row r="407" spans="5:7">
      <c r="E407" s="3"/>
      <c r="F407" s="3"/>
      <c r="G407" s="3"/>
    </row>
    <row r="408" spans="5:7">
      <c r="E408" s="3"/>
      <c r="F408" s="3"/>
      <c r="G408" s="3"/>
    </row>
    <row r="409" spans="5:7">
      <c r="E409" s="3"/>
      <c r="F409" s="3"/>
      <c r="G409" s="3"/>
    </row>
    <row r="410" spans="5:7">
      <c r="E410" s="3"/>
      <c r="F410" s="3"/>
      <c r="G410" s="3"/>
    </row>
    <row r="411" spans="5:7">
      <c r="E411" s="3"/>
      <c r="F411" s="3"/>
      <c r="G411" s="3"/>
    </row>
    <row r="412" spans="5:7">
      <c r="E412" s="3"/>
      <c r="F412" s="3"/>
      <c r="G412" s="3"/>
    </row>
    <row r="413" spans="5:7">
      <c r="E413" s="3"/>
      <c r="F413" s="3"/>
      <c r="G413" s="3"/>
    </row>
    <row r="414" spans="5:7">
      <c r="E414" s="3"/>
      <c r="F414" s="3"/>
      <c r="G414" s="3"/>
    </row>
    <row r="415" spans="5:7">
      <c r="E415" s="3"/>
      <c r="F415" s="3"/>
      <c r="G415" s="3"/>
    </row>
    <row r="416" spans="5:7">
      <c r="E416" s="3"/>
      <c r="F416" s="3"/>
      <c r="G416" s="3"/>
    </row>
    <row r="417" spans="5:7">
      <c r="E417" s="3"/>
      <c r="F417" s="3"/>
      <c r="G417" s="3"/>
    </row>
    <row r="418" spans="5:7">
      <c r="E418" s="3"/>
      <c r="F418" s="3"/>
      <c r="G418" s="3"/>
    </row>
    <row r="419" spans="5:7">
      <c r="E419" s="3"/>
      <c r="F419" s="3"/>
      <c r="G419" s="3"/>
    </row>
    <row r="420" spans="5:7">
      <c r="E420" s="3"/>
      <c r="F420" s="3"/>
      <c r="G420" s="3"/>
    </row>
    <row r="421" spans="5:7">
      <c r="E421" s="3"/>
      <c r="F421" s="3"/>
      <c r="G421" s="3"/>
    </row>
    <row r="422" spans="5:7">
      <c r="E422" s="3"/>
      <c r="F422" s="3"/>
      <c r="G422" s="3"/>
    </row>
    <row r="423" spans="5:7">
      <c r="E423" s="3"/>
      <c r="F423" s="3"/>
      <c r="G423" s="3"/>
    </row>
    <row r="424" spans="5:7">
      <c r="E424" s="3"/>
      <c r="F424" s="3"/>
      <c r="G424" s="3"/>
    </row>
    <row r="425" spans="5:7">
      <c r="E425" s="3"/>
      <c r="F425" s="3"/>
      <c r="G425" s="3"/>
    </row>
    <row r="426" spans="5:7">
      <c r="E426" s="3"/>
      <c r="F426" s="3"/>
      <c r="G426" s="3"/>
    </row>
    <row r="427" spans="5:7">
      <c r="E427" s="3"/>
      <c r="F427" s="3"/>
      <c r="G427" s="3"/>
    </row>
    <row r="428" spans="5:7">
      <c r="E428" s="3"/>
      <c r="F428" s="3"/>
      <c r="G428" s="3"/>
    </row>
    <row r="429" spans="5:7">
      <c r="E429" s="3"/>
      <c r="F429" s="3"/>
      <c r="G429" s="3"/>
    </row>
    <row r="430" spans="5:7">
      <c r="E430" s="3"/>
      <c r="F430" s="3"/>
      <c r="G430" s="3"/>
    </row>
    <row r="431" spans="5:7">
      <c r="E431" s="3"/>
      <c r="F431" s="3"/>
      <c r="G431" s="3"/>
    </row>
    <row r="432" spans="5:7">
      <c r="E432" s="3"/>
      <c r="F432" s="3"/>
      <c r="G432" s="3"/>
    </row>
    <row r="433" spans="5:7">
      <c r="E433" s="3"/>
      <c r="F433" s="3"/>
      <c r="G433" s="3"/>
    </row>
    <row r="434" spans="5:7">
      <c r="E434" s="3"/>
      <c r="F434" s="3"/>
      <c r="G434" s="3"/>
    </row>
    <row r="435" spans="5:7">
      <c r="E435" s="3"/>
      <c r="F435" s="3"/>
      <c r="G435" s="3"/>
    </row>
    <row r="436" spans="5:7">
      <c r="E436" s="3"/>
      <c r="F436" s="3"/>
      <c r="G436" s="3"/>
    </row>
    <row r="437" spans="5:7">
      <c r="E437" s="3"/>
      <c r="F437" s="3"/>
      <c r="G437" s="3"/>
    </row>
    <row r="438" spans="5:7">
      <c r="E438" s="3"/>
      <c r="F438" s="3"/>
      <c r="G438" s="3"/>
    </row>
    <row r="439" spans="5:7">
      <c r="E439" s="3"/>
      <c r="F439" s="3"/>
      <c r="G439" s="3"/>
    </row>
    <row r="440" spans="5:7">
      <c r="E440" s="3"/>
      <c r="F440" s="3"/>
      <c r="G440" s="3"/>
    </row>
    <row r="441" spans="5:7">
      <c r="E441" s="3"/>
      <c r="F441" s="3"/>
      <c r="G441" s="3"/>
    </row>
    <row r="442" spans="5:7">
      <c r="E442" s="3"/>
      <c r="F442" s="3"/>
      <c r="G442" s="3"/>
    </row>
    <row r="443" spans="5:7">
      <c r="E443" s="3"/>
      <c r="F443" s="3"/>
      <c r="G443" s="3"/>
    </row>
    <row r="444" spans="5:7">
      <c r="E444" s="3"/>
      <c r="F444" s="3"/>
      <c r="G444" s="3"/>
    </row>
    <row r="445" spans="5:7">
      <c r="E445" s="3"/>
      <c r="F445" s="3"/>
      <c r="G445" s="3"/>
    </row>
    <row r="446" spans="5:7">
      <c r="E446" s="3"/>
      <c r="F446" s="3"/>
      <c r="G446" s="3"/>
    </row>
    <row r="447" spans="5:7">
      <c r="E447" s="3"/>
      <c r="F447" s="3"/>
      <c r="G447" s="3"/>
    </row>
    <row r="448" spans="5:7">
      <c r="E448" s="3"/>
      <c r="F448" s="3"/>
      <c r="G448" s="3"/>
    </row>
    <row r="449" spans="5:7">
      <c r="E449" s="3"/>
      <c r="F449" s="3"/>
      <c r="G449" s="3"/>
    </row>
    <row r="450" spans="5:7">
      <c r="E450" s="3"/>
      <c r="F450" s="3"/>
      <c r="G450" s="3"/>
    </row>
    <row r="451" spans="5:7">
      <c r="E451" s="3"/>
      <c r="F451" s="3"/>
      <c r="G451" s="3"/>
    </row>
    <row r="452" spans="5:7">
      <c r="E452" s="3"/>
      <c r="F452" s="3"/>
      <c r="G452" s="3"/>
    </row>
    <row r="453" spans="5:7">
      <c r="E453" s="3"/>
      <c r="F453" s="3"/>
      <c r="G453" s="3"/>
    </row>
    <row r="454" spans="5:7">
      <c r="E454" s="3"/>
      <c r="F454" s="3"/>
      <c r="G454" s="3"/>
    </row>
    <row r="455" spans="5:7">
      <c r="E455" s="3"/>
      <c r="F455" s="3"/>
      <c r="G455" s="3"/>
    </row>
    <row r="456" spans="5:7">
      <c r="E456" s="3"/>
      <c r="F456" s="3"/>
      <c r="G456" s="3"/>
    </row>
    <row r="457" spans="5:7">
      <c r="E457" s="3"/>
      <c r="F457" s="3"/>
      <c r="G457" s="3"/>
    </row>
    <row r="458" spans="5:7">
      <c r="E458" s="3"/>
      <c r="F458" s="3"/>
      <c r="G458" s="3"/>
    </row>
    <row r="459" spans="5:7">
      <c r="E459" s="3"/>
      <c r="F459" s="3"/>
      <c r="G459" s="3"/>
    </row>
    <row r="460" spans="5:7">
      <c r="E460" s="3"/>
      <c r="F460" s="3"/>
      <c r="G460" s="3"/>
    </row>
    <row r="461" spans="5:7">
      <c r="E461" s="3"/>
      <c r="F461" s="3"/>
      <c r="G461" s="3"/>
    </row>
    <row r="462" spans="5:7">
      <c r="E462" s="3"/>
      <c r="F462" s="3"/>
      <c r="G462" s="3"/>
    </row>
    <row r="463" spans="5:7">
      <c r="E463" s="3"/>
      <c r="F463" s="3"/>
      <c r="G463" s="3"/>
    </row>
    <row r="464" spans="5:7">
      <c r="E464" s="3"/>
      <c r="F464" s="3"/>
      <c r="G464" s="3"/>
    </row>
    <row r="465" spans="5:7">
      <c r="E465" s="3"/>
      <c r="F465" s="3"/>
      <c r="G465" s="3"/>
    </row>
    <row r="466" spans="5:7">
      <c r="E466" s="3"/>
      <c r="F466" s="3"/>
      <c r="G466" s="3"/>
    </row>
    <row r="467" spans="5:7">
      <c r="E467" s="3"/>
      <c r="F467" s="3"/>
      <c r="G467" s="3"/>
    </row>
    <row r="468" spans="5:7">
      <c r="E468" s="3"/>
      <c r="F468" s="3"/>
      <c r="G468" s="3"/>
    </row>
    <row r="469" spans="5:7">
      <c r="E469" s="3"/>
      <c r="F469" s="3"/>
      <c r="G469" s="3"/>
    </row>
    <row r="470" spans="5:7">
      <c r="E470" s="3"/>
      <c r="F470" s="3"/>
      <c r="G470" s="3"/>
    </row>
    <row r="471" spans="5:7">
      <c r="E471" s="3"/>
      <c r="F471" s="3"/>
      <c r="G471" s="3"/>
    </row>
    <row r="472" spans="5:7">
      <c r="E472" s="3"/>
      <c r="F472" s="3"/>
      <c r="G472" s="3"/>
    </row>
    <row r="473" spans="5:7">
      <c r="E473" s="3"/>
      <c r="F473" s="3"/>
      <c r="G473" s="3"/>
    </row>
    <row r="474" spans="5:7">
      <c r="E474" s="3"/>
      <c r="F474" s="3"/>
      <c r="G474" s="3"/>
    </row>
    <row r="475" spans="5:7">
      <c r="E475" s="3"/>
      <c r="F475" s="3"/>
      <c r="G475" s="3"/>
    </row>
    <row r="476" spans="5:7">
      <c r="E476" s="3"/>
      <c r="F476" s="3"/>
      <c r="G476" s="3"/>
    </row>
    <row r="477" spans="5:7">
      <c r="E477" s="3"/>
      <c r="F477" s="3"/>
      <c r="G477" s="3"/>
    </row>
    <row r="478" spans="5:7">
      <c r="E478" s="3"/>
      <c r="F478" s="3"/>
      <c r="G478" s="3"/>
    </row>
    <row r="479" spans="5:7">
      <c r="E479" s="3"/>
      <c r="F479" s="3"/>
      <c r="G479" s="3"/>
    </row>
    <row r="480" spans="5:7">
      <c r="E480" s="3"/>
      <c r="F480" s="3"/>
      <c r="G480" s="3"/>
    </row>
    <row r="481" spans="5:7">
      <c r="E481" s="3"/>
      <c r="F481" s="3"/>
      <c r="G481" s="3"/>
    </row>
    <row r="482" spans="5:7">
      <c r="E482" s="3"/>
      <c r="F482" s="3"/>
      <c r="G482" s="3"/>
    </row>
    <row r="483" spans="5:7">
      <c r="E483" s="3"/>
      <c r="F483" s="3"/>
      <c r="G483" s="3"/>
    </row>
    <row r="484" spans="5:7">
      <c r="E484" s="3"/>
      <c r="F484" s="3"/>
      <c r="G484" s="3"/>
    </row>
    <row r="485" spans="5:7">
      <c r="E485" s="3"/>
      <c r="F485" s="3"/>
      <c r="G485" s="3"/>
    </row>
    <row r="486" spans="5:7">
      <c r="E486" s="3"/>
      <c r="F486" s="3"/>
      <c r="G486" s="3"/>
    </row>
    <row r="487" spans="5:7">
      <c r="E487" s="3"/>
      <c r="F487" s="3"/>
      <c r="G487" s="3"/>
    </row>
    <row r="488" spans="5:7">
      <c r="E488" s="3"/>
      <c r="F488" s="3"/>
      <c r="G488" s="3"/>
    </row>
    <row r="489" spans="5:7">
      <c r="E489" s="3"/>
      <c r="F489" s="3"/>
      <c r="G489" s="3"/>
    </row>
    <row r="490" spans="5:7">
      <c r="E490" s="3"/>
      <c r="F490" s="3"/>
      <c r="G490" s="3"/>
    </row>
    <row r="491" spans="5:7">
      <c r="E491" s="3"/>
      <c r="F491" s="3"/>
      <c r="G491" s="3"/>
    </row>
    <row r="492" spans="5:7">
      <c r="E492" s="3"/>
      <c r="F492" s="3"/>
      <c r="G492" s="3"/>
    </row>
    <row r="493" spans="5:7">
      <c r="E493" s="3"/>
      <c r="F493" s="3"/>
      <c r="G493" s="3"/>
    </row>
    <row r="494" spans="5:7">
      <c r="E494" s="3"/>
      <c r="F494" s="3"/>
      <c r="G494" s="3"/>
    </row>
    <row r="495" spans="5:7">
      <c r="E495" s="3"/>
      <c r="F495" s="3"/>
      <c r="G495" s="3"/>
    </row>
    <row r="496" spans="5:7">
      <c r="E496" s="3"/>
      <c r="F496" s="3"/>
      <c r="G496" s="3"/>
    </row>
    <row r="497" spans="5:7">
      <c r="E497" s="3"/>
      <c r="F497" s="3"/>
      <c r="G497" s="3"/>
    </row>
    <row r="498" spans="5:7">
      <c r="E498" s="3"/>
      <c r="F498" s="3"/>
      <c r="G498" s="3"/>
    </row>
    <row r="499" spans="5:7">
      <c r="E499" s="3"/>
      <c r="F499" s="3"/>
      <c r="G499" s="3"/>
    </row>
    <row r="500" spans="5:7">
      <c r="E500" s="3"/>
      <c r="F500" s="3"/>
      <c r="G500" s="3"/>
    </row>
    <row r="501" spans="5:7">
      <c r="E501" s="3"/>
      <c r="F501" s="3"/>
      <c r="G501" s="3"/>
    </row>
    <row r="502" spans="5:7">
      <c r="E502" s="3"/>
      <c r="F502" s="3"/>
      <c r="G502" s="3"/>
    </row>
    <row r="503" spans="5:7">
      <c r="E503" s="3"/>
      <c r="F503" s="3"/>
      <c r="G503" s="3"/>
    </row>
    <row r="504" spans="5:7">
      <c r="E504" s="3"/>
      <c r="F504" s="3"/>
      <c r="G504" s="3"/>
    </row>
    <row r="505" spans="5:7">
      <c r="E505" s="3"/>
      <c r="F505" s="3"/>
      <c r="G505" s="3"/>
    </row>
    <row r="506" spans="5:7">
      <c r="E506" s="3"/>
      <c r="F506" s="3"/>
      <c r="G506" s="3"/>
    </row>
    <row r="507" spans="5:7">
      <c r="E507" s="3"/>
      <c r="F507" s="3"/>
      <c r="G507" s="3"/>
    </row>
    <row r="508" spans="5:7">
      <c r="E508" s="3"/>
      <c r="F508" s="3"/>
      <c r="G508" s="3"/>
    </row>
    <row r="509" spans="5:7">
      <c r="E509" s="3"/>
      <c r="F509" s="3"/>
      <c r="G509" s="3"/>
    </row>
    <row r="510" spans="5:7">
      <c r="E510" s="3"/>
      <c r="F510" s="3"/>
      <c r="G510" s="3"/>
    </row>
    <row r="511" spans="5:7">
      <c r="E511" s="3"/>
      <c r="F511" s="3"/>
      <c r="G511" s="3"/>
    </row>
    <row r="512" spans="5:7">
      <c r="E512" s="3"/>
      <c r="F512" s="3"/>
      <c r="G512" s="3"/>
    </row>
    <row r="513" spans="5:7">
      <c r="E513" s="3"/>
      <c r="F513" s="3"/>
      <c r="G513" s="3"/>
    </row>
    <row r="514" spans="5:7">
      <c r="E514" s="3"/>
      <c r="F514" s="3"/>
      <c r="G514" s="3"/>
    </row>
    <row r="515" spans="5:7">
      <c r="E515" s="3"/>
      <c r="F515" s="3"/>
      <c r="G515" s="3"/>
    </row>
    <row r="516" spans="5:7">
      <c r="E516" s="3"/>
      <c r="F516" s="3"/>
      <c r="G516" s="3"/>
    </row>
    <row r="517" spans="5:7">
      <c r="E517" s="3"/>
      <c r="F517" s="3"/>
      <c r="G517" s="3"/>
    </row>
    <row r="518" spans="5:7">
      <c r="E518" s="3"/>
      <c r="F518" s="3"/>
      <c r="G518" s="3"/>
    </row>
    <row r="519" spans="5:7">
      <c r="E519" s="3"/>
      <c r="F519" s="3"/>
      <c r="G519" s="3"/>
    </row>
    <row r="520" spans="5:7">
      <c r="E520" s="3"/>
      <c r="F520" s="3"/>
      <c r="G520" s="3"/>
    </row>
    <row r="521" spans="5:7">
      <c r="E521" s="3"/>
      <c r="F521" s="3"/>
      <c r="G521" s="3"/>
    </row>
    <row r="522" spans="5:7">
      <c r="E522" s="3"/>
      <c r="F522" s="3"/>
      <c r="G522" s="3"/>
    </row>
    <row r="523" spans="5:7">
      <c r="E523" s="3"/>
      <c r="F523" s="3"/>
      <c r="G523" s="3"/>
    </row>
    <row r="524" spans="5:7">
      <c r="E524" s="3"/>
      <c r="F524" s="3"/>
      <c r="G524" s="3"/>
    </row>
    <row r="525" spans="5:7">
      <c r="E525" s="3"/>
      <c r="F525" s="3"/>
      <c r="G525" s="3"/>
    </row>
    <row r="526" spans="5:7">
      <c r="E526" s="3"/>
      <c r="F526" s="3"/>
      <c r="G526" s="3"/>
    </row>
    <row r="527" spans="5:7">
      <c r="E527" s="3"/>
      <c r="F527" s="3"/>
      <c r="G527" s="3"/>
    </row>
    <row r="528" spans="5:7">
      <c r="E528" s="3"/>
      <c r="F528" s="3"/>
      <c r="G528" s="3"/>
    </row>
    <row r="529" spans="5:7">
      <c r="E529" s="3"/>
      <c r="F529" s="3"/>
      <c r="G529" s="3"/>
    </row>
    <row r="530" spans="5:7">
      <c r="E530" s="3"/>
      <c r="F530" s="3"/>
      <c r="G530" s="3"/>
    </row>
    <row r="531" spans="5:7">
      <c r="E531" s="3"/>
      <c r="F531" s="3"/>
      <c r="G531" s="3"/>
    </row>
    <row r="532" spans="5:7">
      <c r="E532" s="3"/>
      <c r="F532" s="3"/>
      <c r="G532" s="3"/>
    </row>
    <row r="533" spans="5:7">
      <c r="E533" s="3"/>
      <c r="F533" s="3"/>
      <c r="G533" s="3"/>
    </row>
    <row r="534" spans="5:7">
      <c r="E534" s="3"/>
      <c r="F534" s="3"/>
      <c r="G534" s="3"/>
    </row>
    <row r="535" spans="5:7">
      <c r="E535" s="3"/>
      <c r="F535" s="3"/>
      <c r="G535" s="3"/>
    </row>
    <row r="536" spans="5:7">
      <c r="E536" s="3"/>
      <c r="F536" s="3"/>
      <c r="G536" s="3"/>
    </row>
    <row r="537" spans="5:7">
      <c r="E537" s="3"/>
      <c r="F537" s="3"/>
      <c r="G537" s="3"/>
    </row>
    <row r="538" spans="5:7">
      <c r="E538" s="3"/>
      <c r="F538" s="3"/>
      <c r="G538" s="3"/>
    </row>
    <row r="539" spans="5:7">
      <c r="E539" s="3"/>
      <c r="F539" s="3"/>
      <c r="G539" s="3"/>
    </row>
    <row r="540" spans="5:7">
      <c r="E540" s="3"/>
      <c r="F540" s="3"/>
      <c r="G540" s="3"/>
    </row>
    <row r="541" spans="5:7">
      <c r="E541" s="3"/>
      <c r="F541" s="3"/>
      <c r="G541" s="3"/>
    </row>
    <row r="542" spans="5:7">
      <c r="E542" s="3"/>
      <c r="F542" s="3"/>
      <c r="G542" s="3"/>
    </row>
    <row r="543" spans="5:7">
      <c r="E543" s="3"/>
      <c r="F543" s="3"/>
      <c r="G543" s="3"/>
    </row>
    <row r="544" spans="5:7">
      <c r="E544" s="3"/>
      <c r="F544" s="3"/>
      <c r="G544" s="3"/>
    </row>
    <row r="545" spans="5:7">
      <c r="E545" s="3"/>
      <c r="F545" s="3"/>
      <c r="G545" s="3"/>
    </row>
    <row r="546" spans="5:7">
      <c r="E546" s="3"/>
      <c r="F546" s="3"/>
      <c r="G546" s="3"/>
    </row>
    <row r="547" spans="5:7">
      <c r="E547" s="3"/>
      <c r="F547" s="3"/>
      <c r="G547" s="3"/>
    </row>
    <row r="548" spans="5:7">
      <c r="E548" s="3"/>
      <c r="F548" s="3"/>
      <c r="G548" s="3"/>
    </row>
    <row r="549" spans="5:7">
      <c r="E549" s="3"/>
      <c r="F549" s="3"/>
      <c r="G549" s="3"/>
    </row>
    <row r="550" spans="5:7">
      <c r="E550" s="3"/>
      <c r="F550" s="3"/>
      <c r="G550" s="3"/>
    </row>
    <row r="551" spans="5:7">
      <c r="E551" s="3"/>
      <c r="F551" s="3"/>
      <c r="G551" s="3"/>
    </row>
    <row r="552" spans="5:7">
      <c r="E552" s="3"/>
      <c r="F552" s="3"/>
      <c r="G552" s="3"/>
    </row>
    <row r="553" spans="5:7">
      <c r="E553" s="3"/>
      <c r="F553" s="3"/>
      <c r="G553" s="3"/>
    </row>
    <row r="554" spans="5:7">
      <c r="E554" s="3"/>
      <c r="F554" s="3"/>
      <c r="G554" s="3"/>
    </row>
    <row r="555" spans="5:7">
      <c r="E555" s="3"/>
      <c r="F555" s="3"/>
      <c r="G555" s="3"/>
    </row>
    <row r="556" spans="5:7">
      <c r="E556" s="3"/>
      <c r="F556" s="3"/>
      <c r="G556" s="3"/>
    </row>
    <row r="557" spans="5:7">
      <c r="E557" s="3"/>
      <c r="F557" s="3"/>
      <c r="G557" s="3"/>
    </row>
    <row r="558" spans="5:7">
      <c r="E558" s="3"/>
      <c r="F558" s="3"/>
      <c r="G558" s="3"/>
    </row>
    <row r="559" spans="5:7">
      <c r="E559" s="3"/>
      <c r="F559" s="3"/>
      <c r="G559" s="3"/>
    </row>
    <row r="560" spans="5:7">
      <c r="E560" s="3"/>
      <c r="F560" s="3"/>
      <c r="G560" s="3"/>
    </row>
    <row r="561" spans="5:7">
      <c r="E561" s="3"/>
      <c r="F561" s="3"/>
      <c r="G561" s="3"/>
    </row>
    <row r="562" spans="5:7">
      <c r="E562" s="3"/>
      <c r="F562" s="3"/>
      <c r="G562" s="3"/>
    </row>
    <row r="563" spans="5:7">
      <c r="E563" s="3"/>
      <c r="F563" s="3"/>
      <c r="G563" s="3"/>
    </row>
    <row r="564" spans="5:7">
      <c r="E564" s="3"/>
      <c r="F564" s="3"/>
      <c r="G564" s="3"/>
    </row>
    <row r="565" spans="5:7">
      <c r="E565" s="3"/>
      <c r="F565" s="3"/>
      <c r="G565" s="3"/>
    </row>
    <row r="566" spans="5:7">
      <c r="E566" s="3"/>
      <c r="F566" s="3"/>
      <c r="G566" s="3"/>
    </row>
    <row r="567" spans="5:7">
      <c r="E567" s="3"/>
      <c r="F567" s="3"/>
      <c r="G567" s="3"/>
    </row>
    <row r="568" spans="5:7">
      <c r="E568" s="3"/>
      <c r="F568" s="3"/>
      <c r="G568" s="3"/>
    </row>
    <row r="569" spans="5:7">
      <c r="E569" s="3"/>
      <c r="F569" s="3"/>
      <c r="G569" s="3"/>
    </row>
    <row r="570" spans="5:7">
      <c r="E570" s="3"/>
      <c r="F570" s="3"/>
      <c r="G570" s="3"/>
    </row>
    <row r="571" spans="5:7">
      <c r="E571" s="3"/>
      <c r="F571" s="3"/>
      <c r="G571" s="3"/>
    </row>
    <row r="572" spans="5:7">
      <c r="E572" s="3"/>
      <c r="F572" s="3"/>
      <c r="G572" s="3"/>
    </row>
    <row r="573" spans="5:7">
      <c r="E573" s="3"/>
      <c r="F573" s="3"/>
      <c r="G573" s="3"/>
    </row>
    <row r="574" spans="5:7">
      <c r="E574" s="3"/>
      <c r="F574" s="3"/>
      <c r="G574" s="3"/>
    </row>
    <row r="575" spans="5:7">
      <c r="E575" s="3"/>
      <c r="F575" s="3"/>
      <c r="G575" s="3"/>
    </row>
    <row r="576" spans="5:7">
      <c r="E576" s="3"/>
      <c r="F576" s="3"/>
      <c r="G576" s="3"/>
    </row>
    <row r="577" spans="5:7">
      <c r="E577" s="3"/>
      <c r="F577" s="3"/>
      <c r="G577" s="3"/>
    </row>
    <row r="578" spans="5:7">
      <c r="E578" s="3"/>
      <c r="F578" s="3"/>
      <c r="G578" s="3"/>
    </row>
    <row r="579" spans="5:7">
      <c r="E579" s="3"/>
      <c r="F579" s="3"/>
      <c r="G579" s="3"/>
    </row>
    <row r="580" spans="5:7">
      <c r="E580" s="3"/>
      <c r="F580" s="3"/>
      <c r="G580" s="3"/>
    </row>
    <row r="581" spans="5:7">
      <c r="E581" s="3"/>
      <c r="F581" s="3"/>
      <c r="G581" s="3"/>
    </row>
    <row r="582" spans="5:7">
      <c r="E582" s="3"/>
      <c r="F582" s="3"/>
      <c r="G582" s="3"/>
    </row>
    <row r="583" spans="5:7">
      <c r="E583" s="3"/>
      <c r="F583" s="3"/>
      <c r="G583" s="3"/>
    </row>
    <row r="584" spans="5:7">
      <c r="E584" s="3"/>
      <c r="F584" s="3"/>
      <c r="G584" s="3"/>
    </row>
    <row r="585" spans="5:7">
      <c r="E585" s="3"/>
      <c r="F585" s="3"/>
      <c r="G585" s="3"/>
    </row>
    <row r="586" spans="5:7">
      <c r="E586" s="3"/>
      <c r="F586" s="3"/>
      <c r="G586" s="3"/>
    </row>
    <row r="587" spans="5:7">
      <c r="E587" s="3"/>
      <c r="F587" s="3"/>
      <c r="G587" s="3"/>
    </row>
    <row r="588" spans="5:7">
      <c r="E588" s="3"/>
      <c r="F588" s="3"/>
      <c r="G588" s="3"/>
    </row>
    <row r="589" spans="5:7">
      <c r="E589" s="3"/>
      <c r="F589" s="3"/>
      <c r="G589" s="3"/>
    </row>
    <row r="590" spans="5:7">
      <c r="E590" s="3"/>
      <c r="F590" s="3"/>
      <c r="G590" s="3"/>
    </row>
    <row r="591" spans="5:7">
      <c r="E591" s="3"/>
      <c r="F591" s="3"/>
      <c r="G591" s="3"/>
    </row>
    <row r="592" spans="5:7">
      <c r="E592" s="3"/>
      <c r="F592" s="3"/>
      <c r="G592" s="3"/>
    </row>
    <row r="593" spans="5:7">
      <c r="E593" s="3"/>
      <c r="F593" s="3"/>
      <c r="G593" s="3"/>
    </row>
    <row r="594" spans="5:7">
      <c r="E594" s="3"/>
      <c r="F594" s="3"/>
      <c r="G594" s="3"/>
    </row>
    <row r="595" spans="5:7">
      <c r="E595" s="3"/>
      <c r="F595" s="3"/>
      <c r="G595" s="3"/>
    </row>
    <row r="596" spans="5:7">
      <c r="E596" s="3"/>
      <c r="F596" s="3"/>
      <c r="G596" s="3"/>
    </row>
    <row r="597" spans="5:7">
      <c r="E597" s="3"/>
      <c r="F597" s="3"/>
      <c r="G597" s="3"/>
    </row>
    <row r="598" spans="5:7">
      <c r="E598" s="3"/>
      <c r="F598" s="3"/>
      <c r="G598" s="3"/>
    </row>
    <row r="599" spans="5:7">
      <c r="E599" s="3"/>
      <c r="F599" s="3"/>
      <c r="G599" s="3"/>
    </row>
    <row r="600" spans="5:7">
      <c r="E600" s="3"/>
      <c r="F600" s="3"/>
      <c r="G600" s="3"/>
    </row>
    <row r="601" spans="5:7">
      <c r="E601" s="3"/>
      <c r="F601" s="3"/>
      <c r="G601" s="3"/>
    </row>
    <row r="602" spans="5:7">
      <c r="E602" s="3"/>
      <c r="F602" s="3"/>
      <c r="G602" s="3"/>
    </row>
    <row r="603" spans="5:7">
      <c r="E603" s="3"/>
      <c r="F603" s="3"/>
      <c r="G603" s="3"/>
    </row>
    <row r="604" spans="5:7">
      <c r="E604" s="3"/>
      <c r="F604" s="3"/>
      <c r="G604" s="3"/>
    </row>
    <row r="605" spans="5:7">
      <c r="E605" s="3"/>
      <c r="F605" s="3"/>
      <c r="G605" s="3"/>
    </row>
    <row r="606" spans="5:7">
      <c r="E606" s="3"/>
      <c r="F606" s="3"/>
      <c r="G606" s="3"/>
    </row>
    <row r="607" spans="5:7">
      <c r="E607" s="3"/>
      <c r="F607" s="3"/>
      <c r="G607" s="3"/>
    </row>
    <row r="608" spans="5:7">
      <c r="E608" s="3"/>
      <c r="F608" s="3"/>
      <c r="G608" s="3"/>
    </row>
    <row r="609" spans="5:7">
      <c r="E609" s="3"/>
      <c r="F609" s="3"/>
      <c r="G609" s="3"/>
    </row>
    <row r="610" spans="5:7">
      <c r="E610" s="3"/>
      <c r="F610" s="3"/>
      <c r="G610" s="3"/>
    </row>
    <row r="611" spans="5:7">
      <c r="E611" s="3"/>
      <c r="F611" s="3"/>
      <c r="G611" s="3"/>
    </row>
    <row r="612" spans="5:7">
      <c r="E612" s="3"/>
      <c r="F612" s="3"/>
      <c r="G612" s="3"/>
    </row>
    <row r="613" spans="5:7">
      <c r="E613" s="3"/>
      <c r="F613" s="3"/>
      <c r="G613" s="3"/>
    </row>
    <row r="614" spans="5:7">
      <c r="E614" s="3"/>
      <c r="F614" s="3"/>
      <c r="G614" s="3"/>
    </row>
    <row r="615" spans="5:7">
      <c r="E615" s="3"/>
      <c r="F615" s="3"/>
      <c r="G615" s="3"/>
    </row>
    <row r="616" spans="5:7">
      <c r="E616" s="3"/>
      <c r="F616" s="3"/>
      <c r="G616" s="3"/>
    </row>
    <row r="617" spans="5:7">
      <c r="E617" s="3"/>
      <c r="F617" s="3"/>
      <c r="G617" s="3"/>
    </row>
    <row r="618" spans="5:7">
      <c r="E618" s="3"/>
      <c r="F618" s="3"/>
      <c r="G618" s="3"/>
    </row>
    <row r="619" spans="5:7">
      <c r="E619" s="3"/>
      <c r="F619" s="3"/>
      <c r="G619" s="3"/>
    </row>
    <row r="620" spans="5:7">
      <c r="E620" s="3"/>
      <c r="F620" s="3"/>
      <c r="G620" s="3"/>
    </row>
    <row r="621" spans="5:7">
      <c r="E621" s="3"/>
      <c r="F621" s="3"/>
      <c r="G621" s="3"/>
    </row>
    <row r="622" spans="5:7">
      <c r="E622" s="3"/>
      <c r="F622" s="3"/>
      <c r="G622" s="3"/>
    </row>
    <row r="623" spans="5:7">
      <c r="E623" s="3"/>
      <c r="F623" s="3"/>
      <c r="G623" s="3"/>
    </row>
    <row r="624" spans="5:7">
      <c r="E624" s="3"/>
      <c r="F624" s="3"/>
      <c r="G624" s="3"/>
    </row>
    <row r="625" spans="5:7">
      <c r="E625" s="3"/>
      <c r="F625" s="3"/>
      <c r="G625" s="3"/>
    </row>
    <row r="626" spans="5:7">
      <c r="E626" s="3"/>
      <c r="F626" s="3"/>
      <c r="G626" s="3"/>
    </row>
    <row r="627" spans="5:7">
      <c r="E627" s="3"/>
      <c r="F627" s="3"/>
      <c r="G627" s="3"/>
    </row>
    <row r="628" spans="5:7">
      <c r="E628" s="3"/>
      <c r="F628" s="3"/>
      <c r="G628" s="3"/>
    </row>
    <row r="629" spans="5:7">
      <c r="E629" s="3"/>
      <c r="F629" s="3"/>
      <c r="G629" s="3"/>
    </row>
    <row r="630" spans="5:7">
      <c r="E630" s="3"/>
      <c r="F630" s="3"/>
      <c r="G630" s="3"/>
    </row>
    <row r="631" spans="5:7">
      <c r="E631" s="3"/>
      <c r="F631" s="3"/>
      <c r="G631" s="3"/>
    </row>
    <row r="632" spans="5:7">
      <c r="E632" s="3"/>
      <c r="F632" s="3"/>
      <c r="G632" s="3"/>
    </row>
    <row r="633" spans="5:7">
      <c r="E633" s="3"/>
      <c r="F633" s="3"/>
      <c r="G633" s="3"/>
    </row>
    <row r="634" spans="5:7">
      <c r="E634" s="3"/>
      <c r="F634" s="3"/>
      <c r="G634" s="3"/>
    </row>
    <row r="635" spans="5:7">
      <c r="E635" s="3"/>
      <c r="F635" s="3"/>
      <c r="G635" s="3"/>
    </row>
    <row r="636" spans="5:7">
      <c r="E636" s="3"/>
      <c r="F636" s="3"/>
      <c r="G636" s="3"/>
    </row>
    <row r="637" spans="5:7">
      <c r="E637" s="3"/>
      <c r="F637" s="3"/>
      <c r="G637" s="3"/>
    </row>
    <row r="638" spans="5:7">
      <c r="E638" s="3"/>
      <c r="F638" s="3"/>
      <c r="G638" s="3"/>
    </row>
    <row r="639" spans="5:7">
      <c r="E639" s="3"/>
      <c r="F639" s="3"/>
      <c r="G639" s="3"/>
    </row>
    <row r="640" spans="5:7">
      <c r="E640" s="3"/>
      <c r="F640" s="3"/>
      <c r="G640" s="3"/>
    </row>
    <row r="641" spans="5:7">
      <c r="E641" s="3"/>
      <c r="F641" s="3"/>
      <c r="G641" s="3"/>
    </row>
    <row r="642" spans="5:7">
      <c r="E642" s="3"/>
      <c r="F642" s="3"/>
      <c r="G642" s="3"/>
    </row>
    <row r="643" spans="5:7">
      <c r="E643" s="3"/>
      <c r="F643" s="3"/>
      <c r="G643" s="3"/>
    </row>
    <row r="644" spans="5:7">
      <c r="E644" s="3"/>
      <c r="F644" s="3"/>
      <c r="G644" s="3"/>
    </row>
    <row r="645" spans="5:7">
      <c r="E645" s="3"/>
      <c r="F645" s="3"/>
      <c r="G645" s="3"/>
    </row>
    <row r="646" spans="5:7">
      <c r="E646" s="3"/>
      <c r="F646" s="3"/>
      <c r="G646" s="3"/>
    </row>
    <row r="647" spans="5:7">
      <c r="E647" s="3"/>
      <c r="F647" s="3"/>
      <c r="G647" s="3"/>
    </row>
    <row r="648" spans="5:7">
      <c r="E648" s="3"/>
      <c r="F648" s="3"/>
      <c r="G648" s="3"/>
    </row>
    <row r="649" spans="5:7">
      <c r="E649" s="3"/>
      <c r="F649" s="3"/>
      <c r="G649" s="3"/>
    </row>
    <row r="650" spans="5:7">
      <c r="E650" s="3"/>
      <c r="F650" s="3"/>
      <c r="G650" s="3"/>
    </row>
    <row r="651" spans="5:7">
      <c r="E651" s="3"/>
      <c r="F651" s="3"/>
      <c r="G651" s="3"/>
    </row>
    <row r="652" spans="5:7">
      <c r="E652" s="3"/>
      <c r="F652" s="3"/>
      <c r="G652" s="3"/>
    </row>
    <row r="653" spans="5:7">
      <c r="E653" s="3"/>
      <c r="F653" s="3"/>
      <c r="G653" s="3"/>
    </row>
    <row r="654" spans="5:7">
      <c r="E654" s="3"/>
      <c r="F654" s="3"/>
      <c r="G654" s="3"/>
    </row>
    <row r="655" spans="5:7">
      <c r="E655" s="3"/>
      <c r="F655" s="3"/>
      <c r="G655" s="3"/>
    </row>
    <row r="656" spans="5:7">
      <c r="E656" s="3"/>
      <c r="F656" s="3"/>
      <c r="G656" s="3"/>
    </row>
    <row r="657" spans="5:7">
      <c r="E657" s="3"/>
      <c r="F657" s="3"/>
      <c r="G657" s="3"/>
    </row>
    <row r="658" spans="5:7">
      <c r="E658" s="3"/>
      <c r="F658" s="3"/>
      <c r="G658" s="3"/>
    </row>
    <row r="659" spans="5:7">
      <c r="E659" s="3"/>
      <c r="F659" s="3"/>
      <c r="G659" s="3"/>
    </row>
    <row r="660" spans="5:7">
      <c r="E660" s="3"/>
      <c r="F660" s="3"/>
      <c r="G660" s="3"/>
    </row>
    <row r="661" spans="5:7">
      <c r="E661" s="3"/>
      <c r="F661" s="3"/>
      <c r="G661" s="3"/>
    </row>
    <row r="662" spans="5:7">
      <c r="E662" s="3"/>
      <c r="F662" s="3"/>
      <c r="G662" s="3"/>
    </row>
    <row r="663" spans="5:7">
      <c r="E663" s="3"/>
      <c r="F663" s="3"/>
      <c r="G663" s="3"/>
    </row>
    <row r="664" spans="5:7">
      <c r="E664" s="3"/>
      <c r="F664" s="3"/>
      <c r="G664" s="3"/>
    </row>
    <row r="665" spans="5:7">
      <c r="E665" s="3"/>
      <c r="F665" s="3"/>
      <c r="G665" s="3"/>
    </row>
    <row r="666" spans="5:7">
      <c r="E666" s="3"/>
      <c r="F666" s="3"/>
      <c r="G666" s="3"/>
    </row>
    <row r="667" spans="5:7">
      <c r="E667" s="3"/>
      <c r="F667" s="3"/>
      <c r="G667" s="3"/>
    </row>
    <row r="668" spans="5:7">
      <c r="E668" s="3"/>
      <c r="F668" s="3"/>
      <c r="G668" s="3"/>
    </row>
    <row r="669" spans="5:7">
      <c r="E669" s="3"/>
      <c r="F669" s="3"/>
      <c r="G669" s="3"/>
    </row>
    <row r="670" spans="5:7">
      <c r="E670" s="3"/>
      <c r="F670" s="3"/>
      <c r="G670" s="3"/>
    </row>
    <row r="671" spans="5:7">
      <c r="E671" s="3"/>
      <c r="F671" s="3"/>
      <c r="G671" s="3"/>
    </row>
    <row r="672" spans="5:7">
      <c r="E672" s="3"/>
      <c r="F672" s="3"/>
      <c r="G672" s="3"/>
    </row>
    <row r="673" spans="5:7">
      <c r="E673" s="3"/>
      <c r="F673" s="3"/>
      <c r="G673" s="3"/>
    </row>
    <row r="674" spans="5:7">
      <c r="E674" s="3"/>
      <c r="F674" s="3"/>
      <c r="G674" s="3"/>
    </row>
    <row r="675" spans="5:7">
      <c r="E675" s="3"/>
      <c r="F675" s="3"/>
      <c r="G675" s="3"/>
    </row>
    <row r="676" spans="5:7">
      <c r="E676" s="3"/>
      <c r="F676" s="3"/>
      <c r="G676" s="3"/>
    </row>
    <row r="677" spans="5:7">
      <c r="E677" s="3"/>
      <c r="F677" s="3"/>
      <c r="G677" s="3"/>
    </row>
    <row r="678" spans="5:7">
      <c r="E678" s="3"/>
      <c r="F678" s="3"/>
      <c r="G678" s="3"/>
    </row>
    <row r="679" spans="5:7">
      <c r="E679" s="3"/>
      <c r="F679" s="3"/>
      <c r="G679" s="3"/>
    </row>
    <row r="680" spans="5:7">
      <c r="E680" s="3"/>
      <c r="F680" s="3"/>
      <c r="G680" s="3"/>
    </row>
    <row r="681" spans="5:7">
      <c r="E681" s="3"/>
      <c r="F681" s="3"/>
      <c r="G681" s="3"/>
    </row>
    <row r="682" spans="5:7">
      <c r="E682" s="3"/>
      <c r="F682" s="3"/>
      <c r="G682" s="3"/>
    </row>
    <row r="683" spans="5:7">
      <c r="E683" s="3"/>
      <c r="F683" s="3"/>
      <c r="G683" s="3"/>
    </row>
    <row r="684" spans="5:7">
      <c r="E684" s="3"/>
      <c r="F684" s="3"/>
      <c r="G684" s="3"/>
    </row>
    <row r="685" spans="5:7">
      <c r="E685" s="3"/>
      <c r="F685" s="3"/>
      <c r="G685" s="3"/>
    </row>
    <row r="686" spans="5:7">
      <c r="E686" s="3"/>
      <c r="F686" s="3"/>
      <c r="G686" s="3"/>
    </row>
    <row r="687" spans="5:7">
      <c r="E687" s="3"/>
      <c r="F687" s="3"/>
      <c r="G687" s="3"/>
    </row>
    <row r="688" spans="5:7">
      <c r="E688" s="3"/>
      <c r="F688" s="3"/>
      <c r="G688" s="3"/>
    </row>
    <row r="689" spans="5:7">
      <c r="E689" s="3"/>
      <c r="F689" s="3"/>
      <c r="G689" s="3"/>
    </row>
    <row r="690" spans="5:7">
      <c r="E690" s="3"/>
      <c r="F690" s="3"/>
      <c r="G690" s="3"/>
    </row>
    <row r="691" spans="5:7">
      <c r="E691" s="3"/>
      <c r="F691" s="3"/>
      <c r="G691" s="3"/>
    </row>
    <row r="692" spans="5:7">
      <c r="E692" s="3"/>
      <c r="F692" s="3"/>
      <c r="G692" s="3"/>
    </row>
    <row r="693" spans="5:7">
      <c r="E693" s="3"/>
      <c r="F693" s="3"/>
      <c r="G693" s="3"/>
    </row>
    <row r="694" spans="5:7">
      <c r="E694" s="3"/>
      <c r="F694" s="3"/>
      <c r="G694" s="3"/>
    </row>
    <row r="695" spans="5:7">
      <c r="E695" s="3"/>
      <c r="F695" s="3"/>
      <c r="G695" s="3"/>
    </row>
    <row r="696" spans="5:7">
      <c r="E696" s="3"/>
      <c r="F696" s="3"/>
      <c r="G696" s="3"/>
    </row>
    <row r="697" spans="5:7">
      <c r="E697" s="3"/>
      <c r="F697" s="3"/>
      <c r="G697" s="3"/>
    </row>
    <row r="698" spans="5:7">
      <c r="E698" s="3"/>
      <c r="F698" s="3"/>
      <c r="G698" s="3"/>
    </row>
    <row r="699" spans="5:7">
      <c r="E699" s="3"/>
      <c r="F699" s="3"/>
      <c r="G699" s="3"/>
    </row>
    <row r="700" spans="5:7">
      <c r="E700" s="3"/>
      <c r="F700" s="3"/>
      <c r="G700" s="3"/>
    </row>
    <row r="701" spans="5:7">
      <c r="E701" s="3"/>
      <c r="F701" s="3"/>
      <c r="G701" s="3"/>
    </row>
    <row r="702" spans="5:7">
      <c r="E702" s="3"/>
      <c r="F702" s="3"/>
      <c r="G702" s="3"/>
    </row>
    <row r="703" spans="5:7">
      <c r="E703" s="3"/>
      <c r="F703" s="3"/>
      <c r="G703" s="3"/>
    </row>
    <row r="704" spans="5:7">
      <c r="E704" s="3"/>
      <c r="F704" s="3"/>
      <c r="G704" s="3"/>
    </row>
    <row r="705" spans="5:7">
      <c r="E705" s="3"/>
      <c r="F705" s="3"/>
      <c r="G705" s="3"/>
    </row>
    <row r="706" spans="5:7">
      <c r="E706" s="3"/>
      <c r="F706" s="3"/>
      <c r="G706" s="3"/>
    </row>
    <row r="707" spans="5:7">
      <c r="E707" s="3"/>
      <c r="F707" s="3"/>
      <c r="G707" s="3"/>
    </row>
    <row r="708" spans="5:7">
      <c r="E708" s="3"/>
      <c r="F708" s="3"/>
      <c r="G708" s="3"/>
    </row>
    <row r="709" spans="5:7">
      <c r="E709" s="3"/>
      <c r="F709" s="3"/>
      <c r="G709" s="3"/>
    </row>
    <row r="710" spans="5:7">
      <c r="E710" s="3"/>
      <c r="F710" s="3"/>
      <c r="G710" s="3"/>
    </row>
    <row r="711" spans="5:7">
      <c r="E711" s="3"/>
      <c r="F711" s="3"/>
      <c r="G711" s="3"/>
    </row>
    <row r="712" spans="5:7">
      <c r="E712" s="3"/>
      <c r="F712" s="3"/>
      <c r="G712" s="3"/>
    </row>
    <row r="713" spans="5:7">
      <c r="E713" s="3"/>
      <c r="F713" s="3"/>
      <c r="G713" s="3"/>
    </row>
    <row r="714" spans="5:7">
      <c r="E714" s="3"/>
      <c r="F714" s="3"/>
      <c r="G714" s="3"/>
    </row>
    <row r="715" spans="5:7">
      <c r="E715" s="3"/>
      <c r="F715" s="3"/>
      <c r="G715" s="3"/>
    </row>
    <row r="716" spans="5:7">
      <c r="E716" s="3"/>
      <c r="F716" s="3"/>
      <c r="G716" s="3"/>
    </row>
    <row r="717" spans="5:7">
      <c r="E717" s="3"/>
      <c r="F717" s="3"/>
      <c r="G717" s="3"/>
    </row>
    <row r="718" spans="5:7">
      <c r="E718" s="3"/>
      <c r="F718" s="3"/>
      <c r="G718" s="3"/>
    </row>
    <row r="719" spans="5:7">
      <c r="E719" s="3"/>
      <c r="F719" s="3"/>
      <c r="G719" s="3"/>
    </row>
    <row r="720" spans="5:7">
      <c r="E720" s="3"/>
      <c r="F720" s="3"/>
      <c r="G720" s="3"/>
    </row>
    <row r="721" spans="5:7">
      <c r="E721" s="3"/>
      <c r="F721" s="3"/>
      <c r="G721" s="3"/>
    </row>
    <row r="722" spans="5:7">
      <c r="E722" s="3"/>
      <c r="F722" s="3"/>
      <c r="G722" s="3"/>
    </row>
    <row r="723" spans="5:7">
      <c r="E723" s="3"/>
      <c r="F723" s="3"/>
      <c r="G723" s="3"/>
    </row>
    <row r="724" spans="5:7">
      <c r="E724" s="3"/>
      <c r="F724" s="3"/>
      <c r="G724" s="3"/>
    </row>
    <row r="725" spans="5:7">
      <c r="E725" s="3"/>
      <c r="F725" s="3"/>
      <c r="G725" s="3"/>
    </row>
    <row r="726" spans="5:7">
      <c r="E726" s="3"/>
      <c r="F726" s="3"/>
      <c r="G726" s="3"/>
    </row>
    <row r="727" spans="5:7">
      <c r="E727" s="3"/>
      <c r="F727" s="3"/>
      <c r="G727" s="3"/>
    </row>
    <row r="728" spans="5:7">
      <c r="E728" s="3"/>
      <c r="F728" s="3"/>
      <c r="G728" s="3"/>
    </row>
    <row r="729" spans="5:7">
      <c r="E729" s="3"/>
      <c r="F729" s="3"/>
      <c r="G729" s="3"/>
    </row>
    <row r="730" spans="5:7">
      <c r="E730" s="3"/>
      <c r="F730" s="3"/>
      <c r="G730" s="3"/>
    </row>
    <row r="731" spans="5:7">
      <c r="E731" s="3"/>
      <c r="F731" s="3"/>
      <c r="G731" s="3"/>
    </row>
    <row r="732" spans="5:7">
      <c r="E732" s="3"/>
      <c r="F732" s="3"/>
      <c r="G732" s="3"/>
    </row>
    <row r="733" spans="5:7">
      <c r="E733" s="3"/>
      <c r="F733" s="3"/>
      <c r="G733" s="3"/>
    </row>
    <row r="734" spans="5:7">
      <c r="E734" s="3"/>
      <c r="F734" s="3"/>
      <c r="G734" s="3"/>
    </row>
    <row r="735" spans="5:7">
      <c r="E735" s="3"/>
      <c r="F735" s="3"/>
      <c r="G735" s="3"/>
    </row>
    <row r="736" spans="5:7">
      <c r="E736" s="3"/>
      <c r="F736" s="3"/>
      <c r="G736" s="3"/>
    </row>
    <row r="737" spans="5:7">
      <c r="E737" s="3"/>
      <c r="F737" s="3"/>
      <c r="G737" s="3"/>
    </row>
    <row r="738" spans="5:7">
      <c r="E738" s="3"/>
      <c r="F738" s="3"/>
      <c r="G738" s="3"/>
    </row>
    <row r="739" spans="5:7">
      <c r="E739" s="3"/>
      <c r="F739" s="3"/>
      <c r="G739" s="3"/>
    </row>
    <row r="740" spans="5:7">
      <c r="E740" s="3"/>
      <c r="F740" s="3"/>
      <c r="G740" s="3"/>
    </row>
    <row r="741" spans="5:7">
      <c r="E741" s="3"/>
      <c r="F741" s="3"/>
      <c r="G741" s="3"/>
    </row>
    <row r="742" spans="5:7">
      <c r="E742" s="3"/>
      <c r="F742" s="3"/>
      <c r="G742" s="3"/>
    </row>
    <row r="743" spans="5:7">
      <c r="E743" s="3"/>
      <c r="F743" s="3"/>
      <c r="G743" s="3"/>
    </row>
    <row r="744" spans="5:7">
      <c r="E744" s="3"/>
      <c r="F744" s="3"/>
      <c r="G744" s="3"/>
    </row>
    <row r="745" spans="5:7">
      <c r="E745" s="3"/>
      <c r="F745" s="3"/>
      <c r="G745" s="3"/>
    </row>
    <row r="746" spans="5:7">
      <c r="E746" s="3"/>
      <c r="F746" s="3"/>
      <c r="G746" s="3"/>
    </row>
    <row r="747" spans="5:7">
      <c r="E747" s="3"/>
      <c r="F747" s="3"/>
      <c r="G747" s="3"/>
    </row>
    <row r="748" spans="5:7">
      <c r="E748" s="3"/>
      <c r="F748" s="3"/>
      <c r="G748" s="3"/>
    </row>
    <row r="749" spans="5:7">
      <c r="E749" s="3"/>
      <c r="F749" s="3"/>
      <c r="G749" s="3"/>
    </row>
    <row r="750" spans="5:7">
      <c r="E750" s="3"/>
      <c r="F750" s="3"/>
      <c r="G750" s="3"/>
    </row>
    <row r="751" spans="5:7">
      <c r="E751" s="3"/>
      <c r="F751" s="3"/>
      <c r="G751" s="3"/>
    </row>
    <row r="752" spans="5:7">
      <c r="E752" s="3"/>
      <c r="F752" s="3"/>
      <c r="G752" s="3"/>
    </row>
    <row r="753" spans="5:7">
      <c r="E753" s="3"/>
      <c r="F753" s="3"/>
      <c r="G753" s="3"/>
    </row>
    <row r="754" spans="5:7">
      <c r="E754" s="3"/>
      <c r="F754" s="3"/>
      <c r="G754" s="3"/>
    </row>
    <row r="755" spans="5:7">
      <c r="E755" s="3"/>
      <c r="F755" s="3"/>
      <c r="G755" s="3"/>
    </row>
    <row r="756" spans="5:7">
      <c r="E756" s="3"/>
      <c r="F756" s="3"/>
      <c r="G756" s="3"/>
    </row>
    <row r="757" spans="5:7">
      <c r="E757" s="3"/>
      <c r="F757" s="3"/>
      <c r="G757" s="3"/>
    </row>
    <row r="758" spans="5:7">
      <c r="E758" s="3"/>
      <c r="F758" s="3"/>
      <c r="G758" s="3"/>
    </row>
    <row r="759" spans="5:7">
      <c r="E759" s="3"/>
      <c r="F759" s="3"/>
      <c r="G759" s="3"/>
    </row>
    <row r="760" spans="5:7">
      <c r="E760" s="3"/>
      <c r="F760" s="3"/>
      <c r="G760" s="3"/>
    </row>
    <row r="761" spans="5:7">
      <c r="E761" s="3"/>
      <c r="F761" s="3"/>
      <c r="G761" s="3"/>
    </row>
    <row r="762" spans="5:7">
      <c r="E762" s="3"/>
      <c r="F762" s="3"/>
      <c r="G762" s="3"/>
    </row>
    <row r="763" spans="5:7">
      <c r="E763" s="3"/>
      <c r="F763" s="3"/>
      <c r="G763" s="3"/>
    </row>
    <row r="764" spans="5:7">
      <c r="E764" s="3"/>
      <c r="F764" s="3"/>
      <c r="G764" s="3"/>
    </row>
    <row r="765" spans="5:7">
      <c r="E765" s="3"/>
      <c r="F765" s="3"/>
      <c r="G765" s="3"/>
    </row>
    <row r="766" spans="5:7">
      <c r="E766" s="3"/>
      <c r="F766" s="3"/>
      <c r="G766" s="3"/>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2C030-9C0A-4848-B4B6-A86406070C9E}">
  <dimension ref="A1:R237"/>
  <sheetViews>
    <sheetView zoomScale="55" zoomScaleNormal="55" workbookViewId="0">
      <selection activeCell="I2" sqref="I2:K5"/>
    </sheetView>
  </sheetViews>
  <sheetFormatPr defaultRowHeight="14.4"/>
  <cols>
    <col min="2" max="2" width="25" customWidth="1"/>
    <col min="3" max="3" width="25.21875" bestFit="1" customWidth="1"/>
    <col min="4" max="4" width="33" bestFit="1" customWidth="1"/>
    <col min="5" max="5" width="26.77734375" bestFit="1" customWidth="1"/>
    <col min="6" max="6" width="30.5546875" bestFit="1" customWidth="1"/>
    <col min="7" max="7" width="13.5546875" bestFit="1" customWidth="1"/>
    <col min="8" max="8" width="12" customWidth="1"/>
    <col min="9" max="9" width="17.77734375" customWidth="1"/>
    <col min="10" max="10" width="10.33203125" bestFit="1" customWidth="1"/>
    <col min="11" max="11" width="12.77734375" bestFit="1" customWidth="1"/>
    <col min="12" max="12" width="13.77734375" bestFit="1" customWidth="1"/>
    <col min="13" max="13" width="41.88671875" bestFit="1" customWidth="1"/>
    <col min="15" max="15" width="9.21875" bestFit="1" customWidth="1"/>
    <col min="16" max="16" width="9.88671875" bestFit="1" customWidth="1"/>
    <col min="17" max="17" width="9.77734375" bestFit="1" customWidth="1"/>
  </cols>
  <sheetData>
    <row r="1" spans="1:16" ht="29.4">
      <c r="A1" s="61" t="s">
        <v>321</v>
      </c>
    </row>
    <row r="2" spans="1:16" ht="23.4">
      <c r="B2" s="51" t="s">
        <v>103</v>
      </c>
      <c r="C2" s="12"/>
      <c r="D2" s="12"/>
      <c r="I2" t="s">
        <v>118</v>
      </c>
      <c r="J2">
        <v>159.5</v>
      </c>
      <c r="K2" t="s">
        <v>86</v>
      </c>
    </row>
    <row r="3" spans="1:16" ht="21">
      <c r="B3" s="12"/>
      <c r="C3" s="52" t="s">
        <v>83</v>
      </c>
      <c r="D3" s="12"/>
      <c r="I3" t="s">
        <v>118</v>
      </c>
      <c r="J3">
        <v>93.8</v>
      </c>
      <c r="K3" t="s">
        <v>87</v>
      </c>
    </row>
    <row r="4" spans="1:16">
      <c r="B4" s="12"/>
      <c r="C4" s="12"/>
      <c r="D4" s="19" t="s">
        <v>115</v>
      </c>
      <c r="E4" s="19" t="s">
        <v>117</v>
      </c>
      <c r="F4" s="19" t="s">
        <v>87</v>
      </c>
      <c r="G4" s="19" t="s">
        <v>86</v>
      </c>
      <c r="H4" s="19" t="s">
        <v>89</v>
      </c>
      <c r="I4" s="12" t="s">
        <v>119</v>
      </c>
      <c r="J4">
        <v>1.7</v>
      </c>
      <c r="K4" t="s">
        <v>86</v>
      </c>
    </row>
    <row r="5" spans="1:16">
      <c r="B5" s="12"/>
      <c r="C5" s="12"/>
      <c r="D5" s="12"/>
      <c r="E5" s="13" t="s">
        <v>104</v>
      </c>
      <c r="F5" s="14">
        <v>10500000</v>
      </c>
      <c r="G5" s="14">
        <f>F5*J4</f>
        <v>17850000</v>
      </c>
      <c r="H5" s="14">
        <f>F5/J3</f>
        <v>111940.29850746269</v>
      </c>
    </row>
    <row r="6" spans="1:16">
      <c r="B6" s="12"/>
      <c r="C6" s="12"/>
      <c r="D6" s="12"/>
      <c r="E6" s="13" t="s">
        <v>105</v>
      </c>
      <c r="F6" s="14">
        <v>8500000</v>
      </c>
      <c r="G6" s="14">
        <f>F6*J4</f>
        <v>14450000</v>
      </c>
      <c r="H6" s="14">
        <f>F6/J3</f>
        <v>90618.336886993609</v>
      </c>
    </row>
    <row r="7" spans="1:16">
      <c r="B7" s="12"/>
      <c r="C7" s="12"/>
      <c r="D7" s="12"/>
      <c r="E7" s="13" t="s">
        <v>106</v>
      </c>
      <c r="F7" s="14">
        <v>7500000</v>
      </c>
      <c r="G7" s="14">
        <f>F7*J4</f>
        <v>12750000</v>
      </c>
      <c r="H7" s="14">
        <f>F7/J3</f>
        <v>79957.356076759068</v>
      </c>
    </row>
    <row r="8" spans="1:16">
      <c r="B8" s="12"/>
      <c r="C8" s="12"/>
      <c r="D8" s="12"/>
      <c r="E8" s="13" t="s">
        <v>107</v>
      </c>
      <c r="F8" s="14">
        <v>5500000</v>
      </c>
      <c r="G8" s="14">
        <f>F8*J4</f>
        <v>9350000</v>
      </c>
      <c r="H8" s="14">
        <f>F8/J3</f>
        <v>58635.394456289978</v>
      </c>
    </row>
    <row r="9" spans="1:16">
      <c r="B9" s="12"/>
      <c r="C9" s="12"/>
      <c r="D9" s="12"/>
      <c r="E9" s="13" t="s">
        <v>108</v>
      </c>
      <c r="F9" s="14">
        <v>4500000</v>
      </c>
      <c r="G9" s="14">
        <f>F9*J4</f>
        <v>7650000</v>
      </c>
      <c r="H9" s="14">
        <f>F9/J3</f>
        <v>47974.413646055436</v>
      </c>
    </row>
    <row r="10" spans="1:16">
      <c r="B10" s="12"/>
      <c r="C10" s="12"/>
      <c r="D10" s="12"/>
      <c r="E10" s="13" t="s">
        <v>109</v>
      </c>
      <c r="F10" s="14">
        <v>2000000</v>
      </c>
      <c r="G10" s="14">
        <f>F10*J4</f>
        <v>3400000</v>
      </c>
      <c r="H10" s="14">
        <f>F10/J3</f>
        <v>21321.961620469083</v>
      </c>
    </row>
    <row r="11" spans="1:16">
      <c r="B11" s="12"/>
      <c r="C11" s="12"/>
      <c r="D11" s="12"/>
      <c r="E11" s="19" t="s">
        <v>116</v>
      </c>
      <c r="F11" s="20">
        <f>SUM(F5:F10)</f>
        <v>38500000</v>
      </c>
      <c r="G11" s="20">
        <f>SUM(G5:G10)</f>
        <v>65450000</v>
      </c>
      <c r="H11" s="20">
        <f>SUM(H5:H10)</f>
        <v>410447.76119402994</v>
      </c>
    </row>
    <row r="12" spans="1:16" ht="21">
      <c r="B12" s="12"/>
      <c r="C12" s="52" t="s">
        <v>82</v>
      </c>
      <c r="D12" s="12"/>
      <c r="P12" s="7"/>
    </row>
    <row r="13" spans="1:16">
      <c r="B13" s="12"/>
      <c r="C13" s="12"/>
      <c r="D13" s="21" t="s">
        <v>110</v>
      </c>
      <c r="E13" s="19" t="s">
        <v>117</v>
      </c>
      <c r="F13" s="19" t="s">
        <v>86</v>
      </c>
      <c r="G13" s="19" t="s">
        <v>87</v>
      </c>
      <c r="H13" s="19" t="s">
        <v>89</v>
      </c>
      <c r="I13" s="21" t="s">
        <v>329</v>
      </c>
      <c r="P13" s="7"/>
    </row>
    <row r="14" spans="1:16">
      <c r="E14" s="13" t="s">
        <v>111</v>
      </c>
      <c r="F14" s="14">
        <v>12781330</v>
      </c>
      <c r="G14" s="14">
        <f>F14/J4</f>
        <v>7518429.4117647065</v>
      </c>
      <c r="H14" s="14">
        <f>F14/J2</f>
        <v>80133.730407523515</v>
      </c>
      <c r="I14" s="14">
        <v>38000000</v>
      </c>
      <c r="P14" s="7"/>
    </row>
    <row r="15" spans="1:16">
      <c r="E15" s="13" t="s">
        <v>112</v>
      </c>
      <c r="F15" s="14">
        <v>3400750</v>
      </c>
      <c r="G15" s="14">
        <f>F15/J4</f>
        <v>2000441.1764705882</v>
      </c>
      <c r="H15" s="14">
        <f>F15/J2</f>
        <v>21321.316614420062</v>
      </c>
      <c r="I15" s="14">
        <v>15000000</v>
      </c>
      <c r="P15" s="7"/>
    </row>
    <row r="16" spans="1:16">
      <c r="E16" s="13" t="s">
        <v>113</v>
      </c>
      <c r="F16" s="14">
        <v>2952420</v>
      </c>
      <c r="G16" s="14">
        <f>F16/J4</f>
        <v>1736717.6470588236</v>
      </c>
      <c r="H16" s="14">
        <f>F16/J2</f>
        <v>18510.470219435738</v>
      </c>
      <c r="I16" s="14">
        <v>13500000</v>
      </c>
      <c r="P16" s="7"/>
    </row>
    <row r="17" spans="4:12">
      <c r="E17" s="13" t="s">
        <v>101</v>
      </c>
      <c r="F17" s="14">
        <v>2140772</v>
      </c>
      <c r="G17" s="14">
        <f>F17/J4</f>
        <v>1259277.6470588236</v>
      </c>
      <c r="H17" s="14">
        <f>F17/J2</f>
        <v>13421.768025078371</v>
      </c>
      <c r="I17" s="14">
        <v>11000000</v>
      </c>
    </row>
    <row r="18" spans="4:12">
      <c r="E18" s="13" t="s">
        <v>114</v>
      </c>
      <c r="F18" s="14">
        <v>2294411</v>
      </c>
      <c r="G18" s="14">
        <f>F18/J4</f>
        <v>1349653.5294117648</v>
      </c>
      <c r="H18" s="14">
        <f>F18/J2</f>
        <v>14385.021943573667</v>
      </c>
      <c r="I18" s="14">
        <v>13500000</v>
      </c>
    </row>
    <row r="19" spans="4:12">
      <c r="E19" s="19" t="s">
        <v>116</v>
      </c>
      <c r="F19" s="20">
        <f>SUM(F13:F18)</f>
        <v>23569683</v>
      </c>
      <c r="G19" s="20">
        <f>SUM(G13:G18)</f>
        <v>13864519.411764707</v>
      </c>
      <c r="H19" s="20">
        <f>SUM(H13:H18)</f>
        <v>147772.30721003134</v>
      </c>
      <c r="I19" s="20">
        <f>SUM(I13:I18)</f>
        <v>91000000</v>
      </c>
      <c r="J19" s="7">
        <f>I19-F19</f>
        <v>67430317</v>
      </c>
    </row>
    <row r="21" spans="4:12" ht="43.2">
      <c r="D21" s="19" t="s">
        <v>115</v>
      </c>
      <c r="E21" s="19" t="s">
        <v>117</v>
      </c>
      <c r="F21" s="22" t="s">
        <v>121</v>
      </c>
      <c r="G21" s="22" t="s">
        <v>120</v>
      </c>
      <c r="H21" s="22" t="s">
        <v>122</v>
      </c>
      <c r="I21" s="19" t="s">
        <v>87</v>
      </c>
      <c r="J21" s="19" t="s">
        <v>89</v>
      </c>
    </row>
    <row r="22" spans="4:12">
      <c r="D22" s="12"/>
      <c r="E22" s="13" t="s">
        <v>111</v>
      </c>
      <c r="F22" s="14">
        <v>38000000</v>
      </c>
      <c r="G22" s="14">
        <f>F22*0.3 + F22</f>
        <v>49400000</v>
      </c>
      <c r="H22" s="14">
        <f>G22-F22</f>
        <v>11400000</v>
      </c>
      <c r="I22" s="14">
        <f>H22*J4</f>
        <v>19380000</v>
      </c>
      <c r="J22" s="14">
        <f>H22/J3</f>
        <v>121535.18123667377</v>
      </c>
    </row>
    <row r="23" spans="4:12">
      <c r="D23" s="12"/>
      <c r="E23" s="13" t="s">
        <v>112</v>
      </c>
      <c r="F23" s="14">
        <v>15000000</v>
      </c>
      <c r="G23" s="14">
        <f>F23*0.3 + F23</f>
        <v>19500000</v>
      </c>
      <c r="H23" s="14">
        <f>G23-F23</f>
        <v>4500000</v>
      </c>
      <c r="I23" s="14">
        <f>H23*J4</f>
        <v>7650000</v>
      </c>
      <c r="J23" s="14">
        <f>H23/J3</f>
        <v>47974.413646055436</v>
      </c>
    </row>
    <row r="24" spans="4:12">
      <c r="D24" s="12"/>
      <c r="E24" s="13" t="s">
        <v>113</v>
      </c>
      <c r="F24" s="14">
        <v>13500000</v>
      </c>
      <c r="G24" s="14">
        <f>F24*0.3 + F24</f>
        <v>17550000</v>
      </c>
      <c r="H24" s="14">
        <f>G24-F24</f>
        <v>4050000</v>
      </c>
      <c r="I24" s="14">
        <f>H24*J4</f>
        <v>6885000</v>
      </c>
      <c r="J24" s="14">
        <f>H24/J3</f>
        <v>43176.972281449896</v>
      </c>
      <c r="L24" t="s">
        <v>140</v>
      </c>
    </row>
    <row r="25" spans="4:12">
      <c r="D25" s="12"/>
      <c r="E25" s="13" t="s">
        <v>101</v>
      </c>
      <c r="F25" s="14">
        <v>11000000</v>
      </c>
      <c r="G25" s="14">
        <f>F25*0.3 + F25</f>
        <v>14300000</v>
      </c>
      <c r="H25" s="14">
        <f>G25-F25</f>
        <v>3300000</v>
      </c>
      <c r="I25" s="14">
        <f>H25*J4</f>
        <v>5610000</v>
      </c>
      <c r="J25" s="14">
        <f>H25/J3</f>
        <v>35181.236673773987</v>
      </c>
    </row>
    <row r="26" spans="4:12">
      <c r="D26" s="12"/>
      <c r="E26" s="13" t="s">
        <v>114</v>
      </c>
      <c r="F26" s="14">
        <v>13500000</v>
      </c>
      <c r="G26" s="14">
        <f>F26*0.3 + F26</f>
        <v>17550000</v>
      </c>
      <c r="H26" s="14">
        <f>G26-F26</f>
        <v>4050000</v>
      </c>
      <c r="I26" s="14">
        <f>H26*J4</f>
        <v>6885000</v>
      </c>
      <c r="J26" s="14">
        <f>H26/J3</f>
        <v>43176.972281449896</v>
      </c>
    </row>
    <row r="27" spans="4:12">
      <c r="D27" s="12"/>
      <c r="E27" s="19" t="s">
        <v>116</v>
      </c>
      <c r="F27" s="20">
        <f>SUM(F22:F26)</f>
        <v>91000000</v>
      </c>
      <c r="G27" s="20">
        <f>SUM(G22:G26)</f>
        <v>118300000</v>
      </c>
      <c r="H27" s="20">
        <f>SUM(H22:H26)</f>
        <v>27300000</v>
      </c>
      <c r="I27" s="20">
        <f>SUM(I22:I26)</f>
        <v>46410000</v>
      </c>
      <c r="J27" s="20">
        <f>SUM(J22:J26)</f>
        <v>291044.77611940302</v>
      </c>
    </row>
    <row r="30" spans="4:12">
      <c r="D30" s="21" t="s">
        <v>123</v>
      </c>
    </row>
    <row r="31" spans="4:12">
      <c r="E31" s="19" t="s">
        <v>117</v>
      </c>
      <c r="F31" s="22" t="s">
        <v>124</v>
      </c>
      <c r="G31" s="19" t="s">
        <v>87</v>
      </c>
      <c r="H31" s="19" t="s">
        <v>89</v>
      </c>
    </row>
    <row r="32" spans="4:12">
      <c r="E32" s="13" t="s">
        <v>111</v>
      </c>
      <c r="F32" s="14">
        <f>H22+F14</f>
        <v>24181330</v>
      </c>
      <c r="G32" s="14">
        <f>F32/J4</f>
        <v>14224311.764705883</v>
      </c>
      <c r="H32" s="14">
        <f>G32/J3</f>
        <v>151645.11476232286</v>
      </c>
    </row>
    <row r="33" spans="2:8">
      <c r="E33" s="13" t="s">
        <v>112</v>
      </c>
      <c r="F33" s="14">
        <f>H23+F15</f>
        <v>7900750</v>
      </c>
      <c r="G33" s="14">
        <f>F33/J4</f>
        <v>4647500</v>
      </c>
      <c r="H33" s="14">
        <f>G33/J3</f>
        <v>49546.908315565037</v>
      </c>
    </row>
    <row r="34" spans="2:8">
      <c r="E34" s="13" t="s">
        <v>113</v>
      </c>
      <c r="F34" s="14">
        <f>H24+F16</f>
        <v>7002420</v>
      </c>
      <c r="G34" s="14">
        <f>F34/J4</f>
        <v>4119070.5882352944</v>
      </c>
      <c r="H34" s="14">
        <f>G34/J3</f>
        <v>43913.33249717798</v>
      </c>
    </row>
    <row r="35" spans="2:8">
      <c r="E35" s="13" t="s">
        <v>101</v>
      </c>
      <c r="F35" s="14">
        <f>H25+F17</f>
        <v>5440772</v>
      </c>
      <c r="G35" s="14">
        <f>F35/J4</f>
        <v>3200454.1176470588</v>
      </c>
      <c r="H35" s="14">
        <f>G35/J3</f>
        <v>34119.979932271417</v>
      </c>
    </row>
    <row r="36" spans="2:8">
      <c r="E36" s="13" t="s">
        <v>114</v>
      </c>
      <c r="F36" s="14">
        <f>H26+F18</f>
        <v>6344411</v>
      </c>
      <c r="G36" s="14">
        <f>F36/J4</f>
        <v>3732006.4705882352</v>
      </c>
      <c r="H36" s="14">
        <f>G36/J3</f>
        <v>39786.849366612318</v>
      </c>
    </row>
    <row r="37" spans="2:8">
      <c r="E37" s="19" t="s">
        <v>116</v>
      </c>
      <c r="F37" s="20">
        <f>SUM(F32:F36)</f>
        <v>50869683</v>
      </c>
      <c r="G37" s="20">
        <f>SUM(G32:G36)</f>
        <v>29923342.941176474</v>
      </c>
      <c r="H37" s="20">
        <f>SUM(H32:H36)</f>
        <v>319012.18487394962</v>
      </c>
    </row>
    <row r="41" spans="2:8" ht="23.4">
      <c r="B41" s="51" t="s">
        <v>125</v>
      </c>
      <c r="C41" s="12"/>
    </row>
    <row r="42" spans="2:8" ht="21">
      <c r="B42" s="12"/>
      <c r="C42" s="52" t="s">
        <v>83</v>
      </c>
    </row>
    <row r="43" spans="2:8">
      <c r="B43" s="12"/>
      <c r="C43" s="12"/>
      <c r="D43" s="19" t="s">
        <v>126</v>
      </c>
    </row>
    <row r="44" spans="2:8">
      <c r="B44" s="12"/>
      <c r="C44" s="12"/>
      <c r="E44" s="15" t="s">
        <v>127</v>
      </c>
      <c r="F44" s="19" t="s">
        <v>89</v>
      </c>
      <c r="G44" s="19" t="s">
        <v>87</v>
      </c>
      <c r="H44" s="19" t="s">
        <v>86</v>
      </c>
    </row>
    <row r="45" spans="2:8">
      <c r="B45" s="12"/>
      <c r="C45" s="12"/>
      <c r="E45" s="13" t="s">
        <v>128</v>
      </c>
      <c r="F45" s="14">
        <v>292018</v>
      </c>
      <c r="G45" s="14">
        <f>F45*J3</f>
        <v>27391288.399999999</v>
      </c>
      <c r="H45" s="14">
        <f>F45*J2</f>
        <v>46576871</v>
      </c>
    </row>
    <row r="46" spans="2:8">
      <c r="B46" s="12"/>
      <c r="C46" s="12"/>
      <c r="E46" s="13" t="s">
        <v>128</v>
      </c>
      <c r="F46" s="14">
        <v>5070</v>
      </c>
      <c r="G46" s="14">
        <f>F46*J3</f>
        <v>475566</v>
      </c>
      <c r="H46" s="14">
        <f>F46*J2</f>
        <v>808665</v>
      </c>
    </row>
    <row r="47" spans="2:8">
      <c r="B47" s="12"/>
      <c r="C47" s="12"/>
      <c r="E47" s="13" t="s">
        <v>81</v>
      </c>
      <c r="F47" s="14">
        <v>90991</v>
      </c>
      <c r="G47" s="14">
        <f>F47*J3</f>
        <v>8534955.7999999989</v>
      </c>
      <c r="H47" s="14">
        <f>F47*J2</f>
        <v>14513064.5</v>
      </c>
    </row>
    <row r="48" spans="2:8">
      <c r="B48" s="12"/>
      <c r="C48" s="12"/>
      <c r="E48" s="13" t="s">
        <v>81</v>
      </c>
      <c r="F48" s="14">
        <v>2351</v>
      </c>
      <c r="G48" s="14">
        <f>F48*J4</f>
        <v>3996.7</v>
      </c>
      <c r="H48" s="14">
        <f>F48*J3</f>
        <v>220523.8</v>
      </c>
    </row>
    <row r="49" spans="2:10">
      <c r="B49" s="12"/>
      <c r="C49" s="12"/>
      <c r="E49" s="13" t="s">
        <v>84</v>
      </c>
      <c r="F49" s="14">
        <v>17000</v>
      </c>
      <c r="G49" s="14">
        <f>F49*J3</f>
        <v>1594600</v>
      </c>
      <c r="H49" s="14">
        <f>F49*J2</f>
        <v>2711500</v>
      </c>
    </row>
    <row r="50" spans="2:10">
      <c r="B50" s="12"/>
      <c r="C50" s="12"/>
      <c r="E50" s="13" t="s">
        <v>129</v>
      </c>
      <c r="F50" s="14">
        <f>G50/J3</f>
        <v>4690.831556503198</v>
      </c>
      <c r="G50" s="14">
        <v>440000</v>
      </c>
      <c r="H50" s="14">
        <f>F50*J2</f>
        <v>748187.63326226012</v>
      </c>
    </row>
    <row r="51" spans="2:10">
      <c r="B51" s="12"/>
      <c r="C51" s="12"/>
      <c r="E51" s="13" t="s">
        <v>130</v>
      </c>
      <c r="F51" s="14">
        <f>G51/J3</f>
        <v>884.86140724946699</v>
      </c>
      <c r="G51" s="14">
        <v>83000</v>
      </c>
      <c r="H51" s="14">
        <f>F51*J2</f>
        <v>141135.39445629</v>
      </c>
    </row>
    <row r="52" spans="2:10">
      <c r="B52" s="12"/>
      <c r="C52" s="12"/>
      <c r="E52" s="15" t="s">
        <v>188</v>
      </c>
      <c r="F52" s="20">
        <f>SUM(F44:F49)</f>
        <v>407430</v>
      </c>
      <c r="G52" s="20">
        <f>SUM(G44:G49)</f>
        <v>38000406.899999999</v>
      </c>
      <c r="H52" s="20">
        <f>SUM(H44:H49)</f>
        <v>64830624.299999997</v>
      </c>
    </row>
    <row r="53" spans="2:10">
      <c r="B53" s="12"/>
      <c r="C53" s="12"/>
    </row>
    <row r="54" spans="2:10">
      <c r="B54" s="12"/>
      <c r="C54" s="12"/>
      <c r="D54" s="19" t="s">
        <v>131</v>
      </c>
    </row>
    <row r="55" spans="2:10" ht="28.8">
      <c r="B55" s="12"/>
      <c r="C55" s="12"/>
      <c r="E55" s="15" t="s">
        <v>127</v>
      </c>
      <c r="F55" s="19" t="s">
        <v>133</v>
      </c>
      <c r="G55" s="19" t="s">
        <v>134</v>
      </c>
      <c r="H55" s="22" t="s">
        <v>135</v>
      </c>
      <c r="I55" s="19" t="s">
        <v>86</v>
      </c>
      <c r="J55" s="19" t="s">
        <v>89</v>
      </c>
    </row>
    <row r="56" spans="2:10">
      <c r="B56" s="12"/>
      <c r="C56" s="12"/>
      <c r="D56" s="19" t="s">
        <v>79</v>
      </c>
      <c r="E56" s="13" t="s">
        <v>128</v>
      </c>
      <c r="F56" s="14">
        <v>10280</v>
      </c>
      <c r="G56" s="14">
        <v>510255</v>
      </c>
      <c r="H56" s="14">
        <f t="shared" ref="H56:H61" si="0">F56+G56</f>
        <v>520535</v>
      </c>
      <c r="I56" s="14">
        <f>H56*J4</f>
        <v>884909.5</v>
      </c>
      <c r="J56" s="14">
        <f>I56/J2</f>
        <v>5548.0219435736681</v>
      </c>
    </row>
    <row r="57" spans="2:10">
      <c r="B57" s="12"/>
      <c r="C57" s="12"/>
      <c r="E57" s="13" t="s">
        <v>81</v>
      </c>
      <c r="F57" s="14">
        <v>5004</v>
      </c>
      <c r="G57" s="14">
        <v>2141703</v>
      </c>
      <c r="H57" s="14">
        <f t="shared" si="0"/>
        <v>2146707</v>
      </c>
      <c r="I57" s="14">
        <f>H57*J4</f>
        <v>3649401.9</v>
      </c>
      <c r="J57" s="14">
        <f>I57/J2</f>
        <v>22880.262695924765</v>
      </c>
    </row>
    <row r="58" spans="2:10">
      <c r="B58" s="12"/>
      <c r="C58" s="12"/>
      <c r="E58" s="13" t="s">
        <v>132</v>
      </c>
      <c r="F58" s="14">
        <v>0</v>
      </c>
      <c r="G58" s="14">
        <v>3940478</v>
      </c>
      <c r="H58" s="14">
        <f t="shared" si="0"/>
        <v>3940478</v>
      </c>
      <c r="I58" s="14">
        <f>H58*J4</f>
        <v>6698812.5999999996</v>
      </c>
      <c r="J58" s="14">
        <f>I58/J2</f>
        <v>41998.825078369904</v>
      </c>
    </row>
    <row r="59" spans="2:10">
      <c r="B59" s="12"/>
      <c r="C59" s="12"/>
      <c r="E59" s="13" t="s">
        <v>129</v>
      </c>
      <c r="F59" s="14">
        <v>0</v>
      </c>
      <c r="G59" s="14">
        <v>30000</v>
      </c>
      <c r="H59" s="14">
        <f t="shared" si="0"/>
        <v>30000</v>
      </c>
      <c r="I59" s="14">
        <f>H59*J4</f>
        <v>51000</v>
      </c>
      <c r="J59" s="14">
        <f>I59/J2</f>
        <v>319.74921630094042</v>
      </c>
    </row>
    <row r="60" spans="2:10">
      <c r="B60" s="12"/>
      <c r="C60" s="12"/>
      <c r="E60" s="13" t="s">
        <v>84</v>
      </c>
      <c r="F60" s="14">
        <v>0</v>
      </c>
      <c r="G60" s="14">
        <v>15000</v>
      </c>
      <c r="H60" s="14">
        <f t="shared" si="0"/>
        <v>15000</v>
      </c>
      <c r="I60" s="14">
        <f>H60*J4</f>
        <v>25500</v>
      </c>
      <c r="J60" s="14">
        <f>I60/J2</f>
        <v>159.87460815047021</v>
      </c>
    </row>
    <row r="61" spans="2:10">
      <c r="B61" s="12"/>
      <c r="C61" s="12"/>
      <c r="E61" s="13" t="s">
        <v>130</v>
      </c>
      <c r="F61" s="14">
        <v>10000</v>
      </c>
      <c r="G61" s="14">
        <v>10000</v>
      </c>
      <c r="H61" s="14">
        <f t="shared" si="0"/>
        <v>20000</v>
      </c>
      <c r="I61" s="14">
        <f>H61*J4</f>
        <v>34000</v>
      </c>
      <c r="J61" s="14">
        <f>I61/J2</f>
        <v>213.16614420062695</v>
      </c>
    </row>
    <row r="62" spans="2:10">
      <c r="B62" s="12"/>
      <c r="C62" s="12"/>
      <c r="E62" s="15" t="s">
        <v>188</v>
      </c>
      <c r="F62" s="20">
        <f>SUM(F56:F61)</f>
        <v>25284</v>
      </c>
      <c r="G62" s="20">
        <f>SUM(G56:G61)</f>
        <v>6647436</v>
      </c>
      <c r="H62" s="20">
        <f>SUM(H56:H61)</f>
        <v>6672720</v>
      </c>
      <c r="I62" s="20">
        <f>SUM(I56:I61)</f>
        <v>11343624</v>
      </c>
      <c r="J62" s="20">
        <f>SUM(J56:J61)</f>
        <v>71119.899686520381</v>
      </c>
    </row>
    <row r="63" spans="2:10">
      <c r="B63" s="12"/>
      <c r="C63" s="12"/>
      <c r="F63" s="23" t="s">
        <v>87</v>
      </c>
      <c r="G63" s="49" t="s">
        <v>86</v>
      </c>
      <c r="H63" s="49" t="s">
        <v>89</v>
      </c>
    </row>
    <row r="64" spans="2:10">
      <c r="D64" s="19" t="s">
        <v>99</v>
      </c>
      <c r="E64" s="13" t="s">
        <v>128</v>
      </c>
      <c r="F64" s="14">
        <v>0</v>
      </c>
      <c r="G64" s="14">
        <f>F64*J4</f>
        <v>0</v>
      </c>
      <c r="H64" s="14">
        <f>G64/J2</f>
        <v>0</v>
      </c>
    </row>
    <row r="65" spans="4:8">
      <c r="E65" s="13" t="s">
        <v>132</v>
      </c>
      <c r="F65" s="14">
        <v>755193</v>
      </c>
      <c r="G65" s="14">
        <f>F65*J4</f>
        <v>1283828.0999999999</v>
      </c>
      <c r="H65" s="14">
        <f>G65/J2</f>
        <v>8049.0789968652025</v>
      </c>
    </row>
    <row r="66" spans="4:8">
      <c r="E66" s="13" t="s">
        <v>129</v>
      </c>
      <c r="F66" s="14">
        <v>152000</v>
      </c>
      <c r="G66" s="14">
        <f>F66*J4</f>
        <v>258400</v>
      </c>
      <c r="H66" s="14">
        <f>G66/J2</f>
        <v>1620.062695924765</v>
      </c>
    </row>
    <row r="67" spans="4:8">
      <c r="E67" s="13" t="s">
        <v>137</v>
      </c>
      <c r="F67" s="14">
        <v>0</v>
      </c>
      <c r="G67" s="14">
        <f>F67*J4</f>
        <v>0</v>
      </c>
      <c r="H67" s="14">
        <f>G67/J2</f>
        <v>0</v>
      </c>
    </row>
    <row r="68" spans="4:8">
      <c r="E68" s="13" t="s">
        <v>136</v>
      </c>
      <c r="F68" s="14">
        <v>0</v>
      </c>
      <c r="G68" s="14">
        <f>F68*J4</f>
        <v>0</v>
      </c>
      <c r="H68" s="14">
        <f>G68/J2</f>
        <v>0</v>
      </c>
    </row>
    <row r="69" spans="4:8">
      <c r="E69" s="15" t="s">
        <v>188</v>
      </c>
      <c r="F69" s="20">
        <f>SUM(F62:F66)</f>
        <v>932477</v>
      </c>
      <c r="G69" s="20">
        <f>SUM(G64:G68)</f>
        <v>1542228.0999999999</v>
      </c>
      <c r="H69" s="20">
        <f>SUM(H64:H68)</f>
        <v>9669.1416927899681</v>
      </c>
    </row>
    <row r="71" spans="4:8">
      <c r="F71" s="23" t="s">
        <v>87</v>
      </c>
      <c r="G71" s="19" t="s">
        <v>86</v>
      </c>
      <c r="H71" s="19" t="s">
        <v>89</v>
      </c>
    </row>
    <row r="72" spans="4:8">
      <c r="D72" s="19" t="s">
        <v>138</v>
      </c>
      <c r="E72" s="13" t="s">
        <v>132</v>
      </c>
      <c r="F72" s="14">
        <v>160000</v>
      </c>
      <c r="G72" s="14">
        <f>F72*J4</f>
        <v>272000</v>
      </c>
      <c r="H72" s="14">
        <f>F72/J3</f>
        <v>1705.7569296375268</v>
      </c>
    </row>
    <row r="73" spans="4:8">
      <c r="E73" s="15" t="s">
        <v>188</v>
      </c>
      <c r="F73" s="20">
        <f>F72</f>
        <v>160000</v>
      </c>
      <c r="G73" s="20">
        <f>G72</f>
        <v>272000</v>
      </c>
      <c r="H73" s="20">
        <f>H72</f>
        <v>1705.7569296375268</v>
      </c>
    </row>
    <row r="75" spans="4:8">
      <c r="F75" s="23" t="s">
        <v>87</v>
      </c>
      <c r="G75" s="19" t="s">
        <v>86</v>
      </c>
      <c r="H75" s="19" t="s">
        <v>89</v>
      </c>
    </row>
    <row r="76" spans="4:8">
      <c r="D76" s="19" t="s">
        <v>139</v>
      </c>
      <c r="E76" s="13" t="s">
        <v>130</v>
      </c>
      <c r="F76" s="14">
        <v>0</v>
      </c>
      <c r="G76" s="14">
        <f>F76*J4</f>
        <v>0</v>
      </c>
      <c r="H76" s="14">
        <f>F76/J3</f>
        <v>0</v>
      </c>
    </row>
    <row r="77" spans="4:8">
      <c r="E77" s="15" t="s">
        <v>188</v>
      </c>
      <c r="F77" s="20">
        <f>F76</f>
        <v>0</v>
      </c>
      <c r="G77" s="20">
        <f>G76</f>
        <v>0</v>
      </c>
      <c r="H77" s="20">
        <f>H76</f>
        <v>0</v>
      </c>
    </row>
    <row r="79" spans="4:8">
      <c r="D79" s="19" t="s">
        <v>141</v>
      </c>
      <c r="E79" s="7"/>
      <c r="F79" s="25" t="s">
        <v>87</v>
      </c>
      <c r="G79" s="24" t="s">
        <v>86</v>
      </c>
      <c r="H79" s="24" t="s">
        <v>89</v>
      </c>
    </row>
    <row r="80" spans="4:8">
      <c r="F80" s="26">
        <f>G52+H62+F69+F73+F77</f>
        <v>45765603.899999999</v>
      </c>
      <c r="G80" s="27">
        <f>H52+I62+G69+G73+G77</f>
        <v>77988476.399999991</v>
      </c>
      <c r="H80" s="26">
        <f>F52+J62+H69+H73+H77</f>
        <v>489924.79830894788</v>
      </c>
    </row>
    <row r="81" spans="2:8">
      <c r="F81" s="7"/>
      <c r="G81" s="50"/>
      <c r="H81" s="7"/>
    </row>
    <row r="82" spans="2:8">
      <c r="F82" s="7"/>
      <c r="G82" s="50"/>
      <c r="H82" s="7"/>
    </row>
    <row r="83" spans="2:8">
      <c r="F83" s="7"/>
      <c r="G83" s="50"/>
      <c r="H83" s="7"/>
    </row>
    <row r="84" spans="2:8">
      <c r="F84" s="7"/>
      <c r="G84" s="50"/>
      <c r="H84" s="7"/>
    </row>
    <row r="85" spans="2:8">
      <c r="F85" s="7"/>
      <c r="G85" s="50"/>
      <c r="H85" s="7"/>
    </row>
    <row r="86" spans="2:8">
      <c r="F86" s="7"/>
      <c r="G86" s="50"/>
      <c r="H86" s="7"/>
    </row>
    <row r="88" spans="2:8" ht="21">
      <c r="B88" s="12"/>
      <c r="C88" s="52" t="s">
        <v>82</v>
      </c>
    </row>
    <row r="89" spans="2:8">
      <c r="B89" s="12"/>
      <c r="C89" s="12"/>
      <c r="D89" s="19" t="s">
        <v>147</v>
      </c>
    </row>
    <row r="90" spans="2:8">
      <c r="B90" s="12"/>
      <c r="C90" s="12"/>
      <c r="E90" s="15" t="s">
        <v>127</v>
      </c>
      <c r="F90" s="19" t="s">
        <v>86</v>
      </c>
      <c r="G90" s="19" t="s">
        <v>87</v>
      </c>
      <c r="H90" s="19" t="s">
        <v>89</v>
      </c>
    </row>
    <row r="91" spans="2:8">
      <c r="B91" s="12"/>
      <c r="C91" s="12"/>
      <c r="D91" s="5" t="s">
        <v>79</v>
      </c>
      <c r="E91" s="13" t="s">
        <v>182</v>
      </c>
      <c r="F91" s="47">
        <v>2309803</v>
      </c>
      <c r="G91" s="47">
        <f>F91/J4</f>
        <v>1358707.6470588236</v>
      </c>
      <c r="H91" s="47">
        <f>F91/J2</f>
        <v>14481.523510971787</v>
      </c>
    </row>
    <row r="92" spans="2:8">
      <c r="B92" s="12"/>
      <c r="C92" s="12"/>
      <c r="E92" s="13" t="s">
        <v>136</v>
      </c>
      <c r="F92" s="47">
        <v>699722</v>
      </c>
      <c r="G92" s="47">
        <f>F92/J4</f>
        <v>411601.17647058825</v>
      </c>
      <c r="H92" s="47">
        <f>F92/J2</f>
        <v>4386.9717868338557</v>
      </c>
    </row>
    <row r="93" spans="2:8">
      <c r="B93" s="12"/>
      <c r="C93" s="12"/>
      <c r="E93" s="13" t="s">
        <v>183</v>
      </c>
      <c r="F93" s="47">
        <v>200308</v>
      </c>
      <c r="G93" s="47">
        <f>F93/J4</f>
        <v>117828.23529411765</v>
      </c>
      <c r="H93" s="47">
        <f>F93/J2</f>
        <v>1255.8495297805644</v>
      </c>
    </row>
    <row r="94" spans="2:8">
      <c r="B94" s="12"/>
      <c r="C94" s="12"/>
      <c r="E94" s="13" t="s">
        <v>184</v>
      </c>
      <c r="F94" s="47">
        <v>200185</v>
      </c>
      <c r="G94" s="47">
        <f>F94/J4</f>
        <v>117755.88235294117</v>
      </c>
      <c r="H94" s="47">
        <f>F94/J2</f>
        <v>1255.0783699059562</v>
      </c>
    </row>
    <row r="95" spans="2:8">
      <c r="B95" s="12"/>
      <c r="C95" s="12"/>
      <c r="E95" s="13" t="s">
        <v>185</v>
      </c>
      <c r="F95" s="47">
        <v>200682</v>
      </c>
      <c r="G95" s="47">
        <f>F95/J4</f>
        <v>118048.23529411765</v>
      </c>
      <c r="H95" s="47">
        <f>F95/J2</f>
        <v>1258.1943573667711</v>
      </c>
    </row>
    <row r="96" spans="2:8">
      <c r="B96" s="12"/>
      <c r="C96" s="12"/>
      <c r="E96" s="13" t="s">
        <v>186</v>
      </c>
      <c r="F96" s="47">
        <v>50458</v>
      </c>
      <c r="G96" s="47">
        <f>F96/J4</f>
        <v>29681.176470588238</v>
      </c>
      <c r="H96" s="47">
        <f>F96/J2</f>
        <v>316.3510971786834</v>
      </c>
    </row>
    <row r="97" spans="2:8">
      <c r="B97" s="12"/>
      <c r="C97" s="12"/>
      <c r="E97" s="13" t="s">
        <v>187</v>
      </c>
      <c r="F97" s="47">
        <v>250175</v>
      </c>
      <c r="G97" s="47">
        <f>F97/J4</f>
        <v>147161.76470588235</v>
      </c>
      <c r="H97" s="47">
        <f>F97/J2</f>
        <v>1568.4952978056426</v>
      </c>
    </row>
    <row r="98" spans="2:8">
      <c r="B98" s="12"/>
      <c r="C98" s="12"/>
      <c r="E98" s="13" t="s">
        <v>91</v>
      </c>
      <c r="F98" s="47">
        <v>200316</v>
      </c>
      <c r="G98" s="47">
        <f>F98/J4</f>
        <v>117832.94117647059</v>
      </c>
      <c r="H98" s="47">
        <f>F98/J2</f>
        <v>1255.8996865203762</v>
      </c>
    </row>
    <row r="99" spans="2:8">
      <c r="B99" s="12"/>
      <c r="C99" s="12"/>
      <c r="E99" s="15" t="s">
        <v>188</v>
      </c>
      <c r="F99" s="48">
        <f>SUM(F91:F98)</f>
        <v>4111649</v>
      </c>
      <c r="G99" s="48">
        <f>SUM(G91:G98)</f>
        <v>2418617.0588235296</v>
      </c>
      <c r="H99" s="48">
        <f>SUM(H91:H98)</f>
        <v>25778.363636363636</v>
      </c>
    </row>
    <row r="100" spans="2:8">
      <c r="B100" s="12"/>
      <c r="C100" s="12"/>
      <c r="F100" s="12"/>
      <c r="G100" s="12"/>
      <c r="H100" s="12"/>
    </row>
    <row r="101" spans="2:8">
      <c r="B101" s="12"/>
      <c r="C101" s="12"/>
      <c r="E101" s="15" t="s">
        <v>127</v>
      </c>
      <c r="F101" s="19" t="s">
        <v>86</v>
      </c>
      <c r="G101" s="19" t="s">
        <v>87</v>
      </c>
      <c r="H101" s="19" t="s">
        <v>89</v>
      </c>
    </row>
    <row r="102" spans="2:8">
      <c r="B102" s="12"/>
      <c r="C102" s="12"/>
      <c r="D102" s="5" t="s">
        <v>80</v>
      </c>
      <c r="E102" s="13" t="s">
        <v>185</v>
      </c>
      <c r="F102" s="47">
        <v>1954124</v>
      </c>
      <c r="G102" s="47">
        <f>F102/J4</f>
        <v>1149484.705882353</v>
      </c>
      <c r="H102" s="47">
        <f>F102/J2</f>
        <v>12251.561128526646</v>
      </c>
    </row>
    <row r="103" spans="2:8">
      <c r="B103" s="12"/>
      <c r="C103" s="12"/>
      <c r="E103" s="13" t="s">
        <v>184</v>
      </c>
      <c r="F103" s="47">
        <v>405710</v>
      </c>
      <c r="G103" s="47">
        <f>F103/J4</f>
        <v>238652.9411764706</v>
      </c>
      <c r="H103" s="47">
        <f>F103/J2</f>
        <v>2543.6363636363635</v>
      </c>
    </row>
    <row r="104" spans="2:8">
      <c r="B104" s="12"/>
      <c r="C104" s="12"/>
      <c r="E104" s="13" t="s">
        <v>136</v>
      </c>
      <c r="F104" s="47">
        <v>290907</v>
      </c>
      <c r="G104" s="47">
        <f>F104/J4</f>
        <v>171121.76470588235</v>
      </c>
      <c r="H104" s="47">
        <f>F104/J2</f>
        <v>1823.8683385579936</v>
      </c>
    </row>
    <row r="105" spans="2:8">
      <c r="B105" s="12"/>
      <c r="C105" s="12"/>
      <c r="E105" s="13" t="s">
        <v>182</v>
      </c>
      <c r="F105" s="47">
        <v>450310</v>
      </c>
      <c r="G105" s="47">
        <f>F105/J4</f>
        <v>264888.23529411765</v>
      </c>
      <c r="H105" s="47">
        <f>F105/J2</f>
        <v>2823.2601880877742</v>
      </c>
    </row>
    <row r="106" spans="2:8">
      <c r="B106" s="12"/>
      <c r="C106" s="12"/>
      <c r="E106" s="13" t="s">
        <v>91</v>
      </c>
      <c r="F106" s="47">
        <v>40000</v>
      </c>
      <c r="G106" s="47">
        <f>F106/J4</f>
        <v>23529.411764705885</v>
      </c>
      <c r="H106" s="47">
        <f>F106/J2</f>
        <v>250.78369905956112</v>
      </c>
    </row>
    <row r="107" spans="2:8">
      <c r="B107" s="12"/>
      <c r="C107" s="12"/>
      <c r="E107" s="15" t="s">
        <v>188</v>
      </c>
      <c r="F107" s="48">
        <f>SUM(F102:F106)</f>
        <v>3141051</v>
      </c>
      <c r="G107" s="48">
        <f>SUM(G102:G106)</f>
        <v>1847677.0588235294</v>
      </c>
      <c r="H107" s="48">
        <f>SUM(H102:H106)</f>
        <v>19693.109717868338</v>
      </c>
    </row>
    <row r="108" spans="2:8">
      <c r="B108" s="12"/>
      <c r="C108" s="12"/>
      <c r="F108" s="12"/>
      <c r="G108" s="12"/>
      <c r="H108" s="12"/>
    </row>
    <row r="109" spans="2:8">
      <c r="B109" s="12"/>
      <c r="C109" s="12"/>
      <c r="E109" s="15" t="s">
        <v>190</v>
      </c>
      <c r="F109" s="19" t="s">
        <v>86</v>
      </c>
      <c r="G109" s="19" t="s">
        <v>87</v>
      </c>
      <c r="H109" s="19" t="s">
        <v>89</v>
      </c>
    </row>
    <row r="110" spans="2:8">
      <c r="B110" s="12"/>
      <c r="C110" s="12"/>
      <c r="D110" s="5" t="s">
        <v>189</v>
      </c>
      <c r="E110" s="13" t="s">
        <v>191</v>
      </c>
      <c r="F110" s="47">
        <v>600000</v>
      </c>
      <c r="G110" s="47">
        <f>F110/J4</f>
        <v>352941.17647058825</v>
      </c>
      <c r="H110" s="47">
        <f>F110/J2</f>
        <v>3761.7554858934168</v>
      </c>
    </row>
    <row r="111" spans="2:8">
      <c r="B111" s="12"/>
      <c r="C111" s="12"/>
      <c r="E111" s="13" t="s">
        <v>192</v>
      </c>
      <c r="F111" s="47">
        <v>350000</v>
      </c>
      <c r="G111" s="47">
        <f>F111/J4</f>
        <v>205882.35294117648</v>
      </c>
      <c r="H111" s="47">
        <f>F111/J2</f>
        <v>2194.3573667711598</v>
      </c>
    </row>
    <row r="112" spans="2:8">
      <c r="B112" s="12"/>
      <c r="C112" s="12"/>
      <c r="E112" s="13" t="s">
        <v>193</v>
      </c>
      <c r="F112" s="47">
        <v>190000</v>
      </c>
      <c r="G112" s="47">
        <f>F112/J4</f>
        <v>111764.70588235294</v>
      </c>
      <c r="H112" s="47">
        <f>F112/J2</f>
        <v>1191.2225705329154</v>
      </c>
    </row>
    <row r="113" spans="2:8">
      <c r="B113" s="12"/>
      <c r="C113" s="12"/>
      <c r="E113" s="13" t="s">
        <v>194</v>
      </c>
      <c r="F113" s="47">
        <v>260000</v>
      </c>
      <c r="G113" s="47">
        <f>F113/J4</f>
        <v>152941.17647058825</v>
      </c>
      <c r="H113" s="47">
        <f>F113/J2</f>
        <v>1630.0940438871473</v>
      </c>
    </row>
    <row r="114" spans="2:8">
      <c r="B114" s="12"/>
      <c r="C114" s="12"/>
      <c r="E114" s="13" t="s">
        <v>195</v>
      </c>
      <c r="F114" s="47">
        <v>290000</v>
      </c>
      <c r="G114" s="47">
        <f>F114/J4</f>
        <v>170588.23529411765</v>
      </c>
      <c r="H114" s="47">
        <f>F114/J2</f>
        <v>1818.1818181818182</v>
      </c>
    </row>
    <row r="115" spans="2:8">
      <c r="B115" s="12"/>
      <c r="C115" s="12"/>
      <c r="E115" s="13" t="s">
        <v>196</v>
      </c>
      <c r="F115" s="47">
        <v>100000</v>
      </c>
      <c r="G115" s="47">
        <f>F115/J4</f>
        <v>58823.529411764706</v>
      </c>
      <c r="H115" s="47">
        <f>F115/J2</f>
        <v>626.95924764890287</v>
      </c>
    </row>
    <row r="116" spans="2:8">
      <c r="B116" s="12"/>
      <c r="C116" s="12"/>
      <c r="E116" s="5" t="s">
        <v>188</v>
      </c>
      <c r="F116" s="46">
        <f>SUM(F110:F115)</f>
        <v>1790000</v>
      </c>
      <c r="G116" s="46">
        <f>SUM(G110:G115)</f>
        <v>1052941.1764705882</v>
      </c>
      <c r="H116" s="46">
        <f>SUM(H110:H115)</f>
        <v>11222.570532915361</v>
      </c>
    </row>
    <row r="117" spans="2:8">
      <c r="B117" s="12"/>
      <c r="C117" s="12"/>
      <c r="F117" s="12"/>
      <c r="G117" s="12"/>
      <c r="H117" s="12"/>
    </row>
    <row r="118" spans="2:8">
      <c r="B118" s="12"/>
      <c r="C118" s="12"/>
      <c r="E118" s="15" t="s">
        <v>190</v>
      </c>
      <c r="F118" s="19" t="s">
        <v>86</v>
      </c>
      <c r="G118" s="19" t="s">
        <v>87</v>
      </c>
      <c r="H118" s="19" t="s">
        <v>89</v>
      </c>
    </row>
    <row r="119" spans="2:8">
      <c r="B119" s="12"/>
      <c r="C119" s="12"/>
      <c r="D119" s="5" t="s">
        <v>197</v>
      </c>
      <c r="E119" s="13" t="s">
        <v>198</v>
      </c>
      <c r="F119" s="47">
        <v>350000</v>
      </c>
      <c r="G119" s="47">
        <f>F119/J4</f>
        <v>205882.35294117648</v>
      </c>
      <c r="H119" s="47">
        <f>F119/J2</f>
        <v>2194.3573667711598</v>
      </c>
    </row>
    <row r="120" spans="2:8">
      <c r="B120" s="12"/>
      <c r="C120" s="12"/>
      <c r="E120" s="15" t="s">
        <v>188</v>
      </c>
      <c r="F120" s="48">
        <f>SUM(F119:F119)</f>
        <v>350000</v>
      </c>
      <c r="G120" s="48">
        <f>SUM(G119:G119)</f>
        <v>205882.35294117648</v>
      </c>
      <c r="H120" s="48">
        <f>SUM(H119:H119)</f>
        <v>2194.3573667711598</v>
      </c>
    </row>
    <row r="121" spans="2:8" ht="21">
      <c r="B121" s="12"/>
      <c r="C121" s="52" t="s">
        <v>207</v>
      </c>
    </row>
    <row r="122" spans="2:8">
      <c r="B122" s="12"/>
      <c r="C122" s="12"/>
      <c r="D122" s="19" t="s">
        <v>207</v>
      </c>
    </row>
    <row r="123" spans="2:8">
      <c r="B123" s="12"/>
      <c r="C123" s="12"/>
      <c r="E123" s="15" t="s">
        <v>127</v>
      </c>
      <c r="F123" s="19" t="s">
        <v>89</v>
      </c>
      <c r="G123" s="19" t="s">
        <v>87</v>
      </c>
      <c r="H123" s="19" t="s">
        <v>86</v>
      </c>
    </row>
    <row r="124" spans="2:8">
      <c r="B124" s="12"/>
      <c r="C124" s="12"/>
      <c r="E124" s="13" t="s">
        <v>208</v>
      </c>
      <c r="F124" s="14">
        <v>2000</v>
      </c>
      <c r="G124" s="14">
        <f>F124*J3</f>
        <v>187600</v>
      </c>
      <c r="H124" s="14">
        <f>F124*J2</f>
        <v>319000</v>
      </c>
    </row>
    <row r="125" spans="2:8">
      <c r="B125" s="12"/>
      <c r="C125" s="12"/>
      <c r="E125" s="13" t="s">
        <v>209</v>
      </c>
      <c r="F125" s="14">
        <v>500</v>
      </c>
      <c r="G125" s="14">
        <f>F125*J3</f>
        <v>46900</v>
      </c>
      <c r="H125" s="14">
        <f>F125*J2</f>
        <v>79750</v>
      </c>
    </row>
    <row r="126" spans="2:8">
      <c r="B126" s="12"/>
      <c r="C126" s="12"/>
      <c r="E126" s="15" t="s">
        <v>188</v>
      </c>
      <c r="F126" s="20">
        <f>SUM(F123:F125)</f>
        <v>2500</v>
      </c>
      <c r="G126" s="20">
        <f>SUM(G123:G125)</f>
        <v>234500</v>
      </c>
      <c r="H126" s="20">
        <f>SUM(H123:H125)</f>
        <v>398750</v>
      </c>
    </row>
    <row r="127" spans="2:8">
      <c r="B127" s="12"/>
      <c r="C127" s="12"/>
      <c r="F127" s="12"/>
      <c r="G127" s="12"/>
      <c r="H127" s="12"/>
    </row>
    <row r="128" spans="2:8" ht="23.4">
      <c r="B128" s="51" t="s">
        <v>199</v>
      </c>
      <c r="C128" s="12"/>
      <c r="F128" s="12"/>
      <c r="G128" s="12"/>
      <c r="H128" s="12"/>
    </row>
    <row r="129" spans="2:8" ht="21">
      <c r="B129" s="12"/>
      <c r="C129" s="52" t="s">
        <v>83</v>
      </c>
      <c r="F129" s="12"/>
      <c r="G129" s="12"/>
      <c r="H129" s="12"/>
    </row>
    <row r="130" spans="2:8" ht="21">
      <c r="B130" s="12"/>
      <c r="C130" s="12"/>
      <c r="D130" s="52" t="s">
        <v>205</v>
      </c>
      <c r="F130" s="12"/>
      <c r="G130" s="12"/>
      <c r="H130" s="12"/>
    </row>
    <row r="131" spans="2:8">
      <c r="B131" s="12"/>
      <c r="C131" s="12"/>
      <c r="E131" s="15" t="s">
        <v>127</v>
      </c>
      <c r="F131" s="19" t="s">
        <v>87</v>
      </c>
      <c r="G131" s="19" t="s">
        <v>86</v>
      </c>
      <c r="H131" s="19" t="s">
        <v>89</v>
      </c>
    </row>
    <row r="132" spans="2:8">
      <c r="B132" s="12"/>
      <c r="C132" s="12"/>
      <c r="D132" s="5" t="s">
        <v>79</v>
      </c>
      <c r="E132" s="13" t="s">
        <v>200</v>
      </c>
      <c r="F132" s="47">
        <v>16500</v>
      </c>
      <c r="G132" s="47">
        <f>F132*J4</f>
        <v>28050</v>
      </c>
      <c r="H132" s="47">
        <f>F132/J3</f>
        <v>175.90618336886993</v>
      </c>
    </row>
    <row r="133" spans="2:8">
      <c r="B133" s="12"/>
      <c r="C133" s="12"/>
      <c r="E133" s="13" t="s">
        <v>201</v>
      </c>
      <c r="F133" s="47">
        <v>12000</v>
      </c>
      <c r="G133" s="47">
        <f>F133*J4</f>
        <v>20400</v>
      </c>
      <c r="H133" s="47">
        <f>F133/J3</f>
        <v>127.93176972281451</v>
      </c>
    </row>
    <row r="134" spans="2:8">
      <c r="B134" s="12"/>
      <c r="C134" s="12"/>
      <c r="E134" s="13" t="s">
        <v>202</v>
      </c>
      <c r="F134" s="47">
        <v>18000</v>
      </c>
      <c r="G134" s="47">
        <f>F134*J4</f>
        <v>30600</v>
      </c>
      <c r="H134" s="47">
        <f>F134/J3</f>
        <v>191.89765458422175</v>
      </c>
    </row>
    <row r="135" spans="2:8">
      <c r="B135" s="12"/>
      <c r="C135" s="12"/>
      <c r="E135" s="13" t="s">
        <v>203</v>
      </c>
      <c r="F135" s="47">
        <v>5000</v>
      </c>
      <c r="G135" s="47">
        <f>F135*J4</f>
        <v>8500</v>
      </c>
      <c r="H135" s="47">
        <f>F135/J3</f>
        <v>53.304904051172713</v>
      </c>
    </row>
    <row r="136" spans="2:8">
      <c r="B136" s="12"/>
      <c r="C136" s="12"/>
      <c r="E136" s="13" t="s">
        <v>204</v>
      </c>
      <c r="F136" s="47">
        <v>16000</v>
      </c>
      <c r="G136" s="47">
        <f>F136*J4</f>
        <v>27200</v>
      </c>
      <c r="H136" s="47">
        <f>F136/J3</f>
        <v>170.57569296375266</v>
      </c>
    </row>
    <row r="137" spans="2:8">
      <c r="B137" s="12"/>
      <c r="C137" s="12"/>
      <c r="E137" s="13" t="s">
        <v>206</v>
      </c>
      <c r="F137" s="47">
        <v>2862</v>
      </c>
      <c r="G137" s="47">
        <f>F137*J4</f>
        <v>4865.3999999999996</v>
      </c>
      <c r="H137" s="47">
        <f>F137/J3</f>
        <v>30.511727078891258</v>
      </c>
    </row>
    <row r="138" spans="2:8">
      <c r="B138" s="12"/>
      <c r="C138" s="12"/>
      <c r="E138" s="15" t="s">
        <v>188</v>
      </c>
      <c r="F138" s="48">
        <f>SUM(F132:F136)</f>
        <v>67500</v>
      </c>
      <c r="G138" s="48">
        <f>SUM(G132:G136)</f>
        <v>114750</v>
      </c>
      <c r="H138" s="48">
        <f>SUM(H132:H137)</f>
        <v>750.12793176972275</v>
      </c>
    </row>
    <row r="139" spans="2:8">
      <c r="B139" s="12"/>
      <c r="C139" s="12"/>
      <c r="F139" s="12"/>
      <c r="G139" s="12"/>
      <c r="H139" s="12"/>
    </row>
    <row r="140" spans="2:8">
      <c r="B140" s="12"/>
      <c r="C140" s="12"/>
      <c r="F140" s="12"/>
      <c r="G140" s="12"/>
      <c r="H140" s="12"/>
    </row>
    <row r="141" spans="2:8" ht="23.4">
      <c r="B141" s="51" t="s">
        <v>215</v>
      </c>
      <c r="C141" s="12"/>
      <c r="F141" s="12"/>
      <c r="G141" s="12"/>
      <c r="H141" s="12"/>
    </row>
    <row r="142" spans="2:8" ht="21">
      <c r="B142" s="12"/>
      <c r="C142" s="12"/>
      <c r="D142" s="52" t="s">
        <v>210</v>
      </c>
      <c r="F142" s="12"/>
      <c r="G142" s="12"/>
      <c r="H142" s="12"/>
    </row>
    <row r="143" spans="2:8">
      <c r="B143" s="12"/>
      <c r="C143" s="12"/>
      <c r="E143" s="15" t="s">
        <v>211</v>
      </c>
      <c r="F143" s="19" t="s">
        <v>87</v>
      </c>
      <c r="G143" s="19" t="s">
        <v>86</v>
      </c>
      <c r="H143" s="19" t="s">
        <v>89</v>
      </c>
    </row>
    <row r="144" spans="2:8">
      <c r="B144" s="12"/>
      <c r="C144" s="12"/>
      <c r="D144" s="5" t="s">
        <v>83</v>
      </c>
      <c r="E144" s="13" t="s">
        <v>213</v>
      </c>
      <c r="F144" s="47">
        <f>10.5*14280</f>
        <v>149940</v>
      </c>
      <c r="G144" s="47">
        <f>F144*J4</f>
        <v>254898</v>
      </c>
      <c r="H144" s="47">
        <f>F144/J3</f>
        <v>1598.5074626865671</v>
      </c>
    </row>
    <row r="145" spans="2:8">
      <c r="B145" s="12"/>
      <c r="C145" s="12"/>
      <c r="E145" s="13" t="s">
        <v>212</v>
      </c>
      <c r="F145" s="47">
        <f>14.83*14280</f>
        <v>211772.4</v>
      </c>
      <c r="G145" s="47">
        <f>F145*J4</f>
        <v>360013.07999999996</v>
      </c>
      <c r="H145" s="47">
        <f>F145/J3</f>
        <v>2257.7014925373132</v>
      </c>
    </row>
    <row r="146" spans="2:8">
      <c r="B146" s="12"/>
      <c r="C146" s="12"/>
      <c r="E146" s="15" t="s">
        <v>188</v>
      </c>
      <c r="F146" s="48">
        <f>SUM(F144:F145)</f>
        <v>361712.4</v>
      </c>
      <c r="G146" s="48">
        <f>SUM(G144:G145)</f>
        <v>614911.07999999996</v>
      </c>
      <c r="H146" s="48">
        <f>SUM(H144:H145)</f>
        <v>3856.2089552238804</v>
      </c>
    </row>
    <row r="147" spans="2:8">
      <c r="B147" s="12"/>
      <c r="C147" s="12"/>
      <c r="F147" s="12"/>
      <c r="G147" s="12"/>
      <c r="H147" s="12"/>
    </row>
    <row r="148" spans="2:8">
      <c r="B148" s="12"/>
      <c r="C148" s="12"/>
      <c r="E148" s="15" t="s">
        <v>214</v>
      </c>
      <c r="F148" s="19" t="s">
        <v>86</v>
      </c>
      <c r="G148" s="19" t="s">
        <v>87</v>
      </c>
      <c r="H148" s="19" t="s">
        <v>89</v>
      </c>
    </row>
    <row r="149" spans="2:8">
      <c r="B149" s="12"/>
      <c r="C149" s="12"/>
      <c r="D149" s="5" t="s">
        <v>82</v>
      </c>
      <c r="E149" s="13" t="s">
        <v>79</v>
      </c>
      <c r="F149" s="47">
        <v>45152</v>
      </c>
      <c r="G149" s="47">
        <f>F149/J4</f>
        <v>26560</v>
      </c>
      <c r="H149" s="47">
        <f>F149/J2</f>
        <v>283.08463949843258</v>
      </c>
    </row>
    <row r="150" spans="2:8">
      <c r="B150" s="12"/>
      <c r="C150" s="12"/>
      <c r="E150" s="13" t="s">
        <v>80</v>
      </c>
      <c r="F150" s="47">
        <v>45152</v>
      </c>
      <c r="G150" s="47">
        <f>F150/J4</f>
        <v>26560</v>
      </c>
      <c r="H150" s="47">
        <f>F150/J2</f>
        <v>283.08463949843258</v>
      </c>
    </row>
    <row r="151" spans="2:8">
      <c r="B151" s="12"/>
      <c r="C151" s="12"/>
      <c r="E151" s="15" t="s">
        <v>188</v>
      </c>
      <c r="F151" s="48">
        <f>SUM(F149:F150)</f>
        <v>90304</v>
      </c>
      <c r="G151" s="48">
        <f>SUM(G149:G150)</f>
        <v>53120</v>
      </c>
      <c r="H151" s="48">
        <f>SUM(H149:H150)</f>
        <v>566.16927899686516</v>
      </c>
    </row>
    <row r="152" spans="2:8" ht="21">
      <c r="B152" s="12"/>
      <c r="C152" s="12"/>
      <c r="D152" s="52" t="s">
        <v>222</v>
      </c>
      <c r="F152" s="12"/>
      <c r="G152" s="12"/>
      <c r="H152" s="12"/>
    </row>
    <row r="153" spans="2:8">
      <c r="B153" s="12"/>
      <c r="C153" s="12"/>
      <c r="E153" s="15" t="s">
        <v>223</v>
      </c>
      <c r="F153" s="19" t="s">
        <v>87</v>
      </c>
      <c r="G153" s="19" t="s">
        <v>86</v>
      </c>
      <c r="H153" s="19" t="s">
        <v>89</v>
      </c>
    </row>
    <row r="154" spans="2:8">
      <c r="B154" s="12"/>
      <c r="C154" s="12"/>
      <c r="D154" s="5" t="s">
        <v>82</v>
      </c>
      <c r="E154" s="13" t="s">
        <v>224</v>
      </c>
      <c r="F154" s="47">
        <v>1500000</v>
      </c>
      <c r="G154" s="47">
        <f>F154*J4</f>
        <v>2550000</v>
      </c>
      <c r="H154" s="47">
        <f>F154/J3</f>
        <v>15991.471215351812</v>
      </c>
    </row>
    <row r="155" spans="2:8">
      <c r="B155" s="12"/>
      <c r="C155" s="12"/>
      <c r="E155" s="15" t="s">
        <v>188</v>
      </c>
      <c r="F155" s="48">
        <f>SUM(F154:F154)</f>
        <v>1500000</v>
      </c>
      <c r="G155" s="48">
        <f>SUM(G154:G154)</f>
        <v>2550000</v>
      </c>
      <c r="H155" s="48">
        <f>SUM(H154:H154)</f>
        <v>15991.471215351812</v>
      </c>
    </row>
    <row r="156" spans="2:8">
      <c r="B156" s="12"/>
      <c r="C156" s="12"/>
      <c r="E156" s="5"/>
      <c r="F156" s="46"/>
      <c r="G156" s="46"/>
      <c r="H156" s="46"/>
    </row>
    <row r="157" spans="2:8" ht="21">
      <c r="B157" s="12"/>
      <c r="C157" s="12"/>
      <c r="D157" s="52" t="s">
        <v>227</v>
      </c>
      <c r="F157" s="12"/>
      <c r="G157" s="12"/>
      <c r="H157" s="12"/>
    </row>
    <row r="158" spans="2:8">
      <c r="B158" s="12"/>
      <c r="C158" s="12"/>
      <c r="E158" s="15" t="s">
        <v>228</v>
      </c>
      <c r="F158" s="19" t="s">
        <v>86</v>
      </c>
      <c r="G158" s="19" t="s">
        <v>87</v>
      </c>
      <c r="H158" s="19" t="s">
        <v>89</v>
      </c>
    </row>
    <row r="159" spans="2:8">
      <c r="B159" s="12"/>
      <c r="C159" s="12"/>
      <c r="D159" s="5" t="s">
        <v>83</v>
      </c>
      <c r="E159" s="13" t="s">
        <v>79</v>
      </c>
      <c r="F159" s="47">
        <v>9686353</v>
      </c>
      <c r="G159" s="47">
        <f>F159/J4</f>
        <v>5697854.7058823528</v>
      </c>
      <c r="H159" s="47">
        <f>F159/J2</f>
        <v>60729.485893416932</v>
      </c>
    </row>
    <row r="160" spans="2:8">
      <c r="B160" s="12"/>
      <c r="C160" s="12"/>
      <c r="E160" s="13" t="s">
        <v>80</v>
      </c>
      <c r="F160" s="47">
        <v>3743861</v>
      </c>
      <c r="G160" s="47">
        <f>F160/J4</f>
        <v>2202271.1764705884</v>
      </c>
      <c r="H160" s="47">
        <f>F160/J2</f>
        <v>23472.482758620688</v>
      </c>
    </row>
    <row r="161" spans="2:8">
      <c r="B161" s="12"/>
      <c r="C161" s="12"/>
      <c r="E161" s="15" t="s">
        <v>188</v>
      </c>
      <c r="F161" s="48">
        <f>SUM(F159:F160)</f>
        <v>13430214</v>
      </c>
      <c r="G161" s="48">
        <f>SUM(G159:G160)</f>
        <v>7900125.8823529407</v>
      </c>
      <c r="H161" s="48">
        <f>SUM(H159:H160)</f>
        <v>84201.968652037613</v>
      </c>
    </row>
    <row r="162" spans="2:8">
      <c r="B162" s="12"/>
      <c r="C162" s="12"/>
      <c r="F162" s="12"/>
      <c r="G162" s="12"/>
      <c r="H162" s="12"/>
    </row>
    <row r="163" spans="2:8" ht="23.4">
      <c r="B163" s="51" t="s">
        <v>216</v>
      </c>
      <c r="C163" s="12"/>
      <c r="F163" s="12"/>
      <c r="G163" s="12"/>
      <c r="H163" s="12"/>
    </row>
    <row r="164" spans="2:8" ht="21">
      <c r="B164" s="12"/>
      <c r="C164" s="12"/>
      <c r="D164" s="52" t="s">
        <v>217</v>
      </c>
      <c r="F164" s="12"/>
      <c r="G164" s="12"/>
      <c r="H164" s="12"/>
    </row>
    <row r="165" spans="2:8">
      <c r="B165" s="12"/>
      <c r="C165" s="12"/>
      <c r="E165" s="15" t="s">
        <v>217</v>
      </c>
      <c r="F165" s="19" t="s">
        <v>86</v>
      </c>
      <c r="G165" s="19" t="s">
        <v>87</v>
      </c>
      <c r="H165" s="19" t="s">
        <v>89</v>
      </c>
    </row>
    <row r="166" spans="2:8">
      <c r="B166" s="12"/>
      <c r="C166" s="12"/>
      <c r="D166" s="5" t="s">
        <v>82</v>
      </c>
      <c r="E166" s="13" t="s">
        <v>79</v>
      </c>
      <c r="F166" s="47">
        <v>2358340</v>
      </c>
      <c r="G166" s="47">
        <f>F166/J4</f>
        <v>1387258.8235294118</v>
      </c>
      <c r="H166" s="47">
        <f>F166/J2</f>
        <v>14785.830721003134</v>
      </c>
    </row>
    <row r="167" spans="2:8">
      <c r="B167" s="12"/>
      <c r="C167" s="12"/>
      <c r="E167" s="13" t="s">
        <v>80</v>
      </c>
      <c r="F167" s="47">
        <v>1850646</v>
      </c>
      <c r="G167" s="47">
        <f>F167/J4</f>
        <v>1088615.294117647</v>
      </c>
      <c r="H167" s="47">
        <f>F167/J2</f>
        <v>11602.796238244515</v>
      </c>
    </row>
    <row r="168" spans="2:8">
      <c r="B168" s="12"/>
      <c r="C168" s="12"/>
      <c r="E168" s="15" t="s">
        <v>188</v>
      </c>
      <c r="F168" s="48">
        <f>SUM(F166:F167)</f>
        <v>4208986</v>
      </c>
      <c r="G168" s="48">
        <f>SUM(G166:G167)</f>
        <v>2475874.1176470588</v>
      </c>
      <c r="H168" s="48">
        <f>SUM(H166:H167)</f>
        <v>26388.626959247649</v>
      </c>
    </row>
    <row r="169" spans="2:8">
      <c r="B169" s="12"/>
      <c r="C169" s="12"/>
      <c r="F169" s="12"/>
      <c r="G169" s="12"/>
      <c r="H169" s="12"/>
    </row>
    <row r="170" spans="2:8" ht="21">
      <c r="B170" s="12"/>
      <c r="C170" s="12"/>
      <c r="D170" s="52" t="s">
        <v>218</v>
      </c>
      <c r="F170" s="12"/>
      <c r="G170" s="12"/>
      <c r="H170" s="12"/>
    </row>
    <row r="171" spans="2:8">
      <c r="B171" s="12"/>
      <c r="C171" s="12"/>
      <c r="E171" s="15" t="s">
        <v>88</v>
      </c>
      <c r="F171" s="19" t="s">
        <v>87</v>
      </c>
      <c r="G171" s="19" t="s">
        <v>86</v>
      </c>
      <c r="H171" s="19" t="s">
        <v>89</v>
      </c>
    </row>
    <row r="172" spans="2:8">
      <c r="B172" s="12"/>
      <c r="C172" s="12"/>
      <c r="D172" s="5" t="s">
        <v>83</v>
      </c>
      <c r="E172" s="13" t="s">
        <v>219</v>
      </c>
      <c r="F172" s="47">
        <v>79045</v>
      </c>
      <c r="G172" s="47">
        <f>F172*J4</f>
        <v>134376.5</v>
      </c>
      <c r="H172" s="47">
        <f>F172/J2</f>
        <v>495.57993730407526</v>
      </c>
    </row>
    <row r="173" spans="2:8">
      <c r="B173" s="12"/>
      <c r="C173" s="12"/>
      <c r="E173" s="13" t="s">
        <v>220</v>
      </c>
      <c r="F173" s="47">
        <v>243475</v>
      </c>
      <c r="G173" s="47">
        <f>F173*J4</f>
        <v>413907.5</v>
      </c>
      <c r="H173" s="47">
        <f>F173/J2</f>
        <v>1526.4890282131662</v>
      </c>
    </row>
    <row r="174" spans="2:8">
      <c r="B174" s="12"/>
      <c r="C174" s="12"/>
      <c r="E174" s="13" t="s">
        <v>221</v>
      </c>
      <c r="F174" s="47">
        <v>68360</v>
      </c>
      <c r="G174" s="47">
        <f>F174*J4</f>
        <v>116212</v>
      </c>
      <c r="H174" s="47">
        <f>F174/J2</f>
        <v>428.58934169278996</v>
      </c>
    </row>
    <row r="175" spans="2:8">
      <c r="B175" s="12"/>
      <c r="C175" s="12"/>
      <c r="E175" s="15" t="s">
        <v>188</v>
      </c>
      <c r="F175" s="48">
        <f>SUM(F172:F174)</f>
        <v>390880</v>
      </c>
      <c r="G175" s="48">
        <f>SUM(G172:G174)</f>
        <v>664496</v>
      </c>
      <c r="H175" s="48">
        <f>SUM(H172:H174)</f>
        <v>2450.6583072100311</v>
      </c>
    </row>
    <row r="176" spans="2:8">
      <c r="B176" s="12"/>
      <c r="C176" s="12"/>
      <c r="F176" s="12"/>
      <c r="G176" s="12"/>
      <c r="H176" s="12"/>
    </row>
    <row r="177" spans="2:8">
      <c r="B177" s="12"/>
      <c r="C177" s="12"/>
      <c r="F177" s="12"/>
      <c r="G177" s="12"/>
      <c r="H177" s="12"/>
    </row>
    <row r="178" spans="2:8">
      <c r="B178" s="12"/>
      <c r="C178" s="12"/>
      <c r="F178" s="12"/>
      <c r="G178" s="12"/>
      <c r="H178" s="12"/>
    </row>
    <row r="179" spans="2:8" ht="23.4">
      <c r="B179" s="51" t="s">
        <v>225</v>
      </c>
      <c r="C179" s="12"/>
      <c r="F179" s="12"/>
      <c r="G179" s="12"/>
      <c r="H179" s="12"/>
    </row>
    <row r="180" spans="2:8" ht="21">
      <c r="B180" s="12"/>
      <c r="C180" s="12"/>
      <c r="D180" s="52" t="s">
        <v>83</v>
      </c>
      <c r="F180" s="12"/>
      <c r="G180" s="12"/>
      <c r="H180" s="12"/>
    </row>
    <row r="181" spans="2:8">
      <c r="B181" s="12"/>
      <c r="C181" s="12"/>
      <c r="E181" s="15" t="s">
        <v>226</v>
      </c>
      <c r="F181" s="19" t="s">
        <v>87</v>
      </c>
      <c r="G181" s="19" t="s">
        <v>86</v>
      </c>
      <c r="H181" s="19" t="s">
        <v>89</v>
      </c>
    </row>
    <row r="182" spans="2:8">
      <c r="B182" s="12"/>
      <c r="C182" s="12"/>
      <c r="E182" s="13" t="s">
        <v>216</v>
      </c>
      <c r="F182" s="47">
        <v>85433</v>
      </c>
      <c r="G182" s="47">
        <f>F182*J4</f>
        <v>145236.1</v>
      </c>
      <c r="H182" s="47">
        <f>F182/J3</f>
        <v>910.79957356076761</v>
      </c>
    </row>
    <row r="183" spans="2:8">
      <c r="B183" s="12"/>
      <c r="C183" s="12"/>
      <c r="E183" s="13" t="s">
        <v>126</v>
      </c>
      <c r="F183" s="47">
        <v>9692378</v>
      </c>
      <c r="G183" s="47">
        <f>F183*J4</f>
        <v>16477042.6</v>
      </c>
      <c r="H183" s="47">
        <f>F183/J3</f>
        <v>103330.25586353945</v>
      </c>
    </row>
    <row r="184" spans="2:8">
      <c r="B184" s="12"/>
      <c r="C184" s="12"/>
      <c r="E184" s="15" t="s">
        <v>188</v>
      </c>
      <c r="F184" s="48">
        <f>SUM(F181:F183)</f>
        <v>9777811</v>
      </c>
      <c r="G184" s="48">
        <f>SUM(G181:G183)</f>
        <v>16622278.699999999</v>
      </c>
      <c r="H184" s="48">
        <f>SUM(H181:H183)</f>
        <v>104241.05543710022</v>
      </c>
    </row>
    <row r="185" spans="2:8">
      <c r="B185" s="12"/>
      <c r="C185" s="12"/>
      <c r="F185" s="12"/>
      <c r="G185" s="12"/>
      <c r="H185" s="12"/>
    </row>
    <row r="186" spans="2:8">
      <c r="B186" s="12"/>
      <c r="C186" s="12"/>
      <c r="F186" s="12"/>
      <c r="G186" s="12"/>
      <c r="H186" s="12"/>
    </row>
    <row r="187" spans="2:8">
      <c r="B187" s="12"/>
      <c r="C187" s="12"/>
      <c r="F187" s="12"/>
      <c r="G187" s="12"/>
      <c r="H187" s="12"/>
    </row>
    <row r="188" spans="2:8">
      <c r="B188" s="12"/>
      <c r="C188" s="12"/>
      <c r="F188" s="12"/>
      <c r="G188" s="12"/>
      <c r="H188" s="12"/>
    </row>
    <row r="189" spans="2:8" ht="23.4">
      <c r="B189" s="51" t="s">
        <v>85</v>
      </c>
      <c r="C189" s="12"/>
    </row>
    <row r="190" spans="2:8">
      <c r="B190" s="12"/>
      <c r="C190" s="19" t="s">
        <v>142</v>
      </c>
    </row>
    <row r="191" spans="2:8">
      <c r="B191" s="12"/>
      <c r="C191" s="12"/>
      <c r="D191" s="19" t="s">
        <v>143</v>
      </c>
    </row>
    <row r="192" spans="2:8">
      <c r="B192" s="12"/>
      <c r="C192" s="12"/>
      <c r="E192" s="15" t="s">
        <v>144</v>
      </c>
      <c r="F192" s="19" t="s">
        <v>145</v>
      </c>
      <c r="G192" s="19" t="s">
        <v>146</v>
      </c>
      <c r="H192" s="19" t="s">
        <v>165</v>
      </c>
    </row>
    <row r="193" spans="2:18" ht="43.2">
      <c r="B193" s="12"/>
      <c r="C193" s="12"/>
      <c r="E193" s="16" t="s">
        <v>92</v>
      </c>
      <c r="F193" s="14" t="s">
        <v>163</v>
      </c>
      <c r="G193" s="14">
        <v>670</v>
      </c>
      <c r="H193" s="14">
        <f>G193</f>
        <v>670</v>
      </c>
    </row>
    <row r="194" spans="2:18">
      <c r="B194" s="12"/>
      <c r="C194" s="12"/>
      <c r="E194" s="16"/>
      <c r="F194" s="14" t="s">
        <v>164</v>
      </c>
      <c r="G194" s="14">
        <v>608</v>
      </c>
      <c r="H194" s="14">
        <f>G194</f>
        <v>608</v>
      </c>
    </row>
    <row r="195" spans="2:18">
      <c r="B195" s="12"/>
      <c r="C195" s="12"/>
      <c r="E195" s="16"/>
      <c r="F195" s="14" t="s">
        <v>166</v>
      </c>
      <c r="G195" s="14"/>
      <c r="H195" s="37">
        <v>11.92</v>
      </c>
    </row>
    <row r="196" spans="2:18">
      <c r="E196" s="13" t="s">
        <v>93</v>
      </c>
      <c r="F196" s="13" t="s">
        <v>163</v>
      </c>
      <c r="G196" s="13">
        <v>464</v>
      </c>
      <c r="H196" s="14">
        <f>G196</f>
        <v>464</v>
      </c>
    </row>
    <row r="197" spans="2:18">
      <c r="E197" s="13" t="s">
        <v>94</v>
      </c>
      <c r="F197" s="13" t="s">
        <v>176</v>
      </c>
      <c r="G197" s="13">
        <v>0.15122566000000001</v>
      </c>
      <c r="H197" s="37">
        <v>11809.8</v>
      </c>
      <c r="I197" s="5" t="s">
        <v>177</v>
      </c>
    </row>
    <row r="198" spans="2:18">
      <c r="E198" s="13" t="s">
        <v>95</v>
      </c>
      <c r="F198" s="13" t="s">
        <v>164</v>
      </c>
      <c r="G198" s="13">
        <v>102</v>
      </c>
      <c r="H198" s="14">
        <f>G198</f>
        <v>102</v>
      </c>
    </row>
    <row r="199" spans="2:18">
      <c r="E199" s="13" t="s">
        <v>96</v>
      </c>
      <c r="F199" s="13" t="s">
        <v>163</v>
      </c>
      <c r="G199" s="13">
        <v>18.27</v>
      </c>
      <c r="H199" s="13">
        <f>G199</f>
        <v>18.27</v>
      </c>
    </row>
    <row r="200" spans="2:18">
      <c r="E200" s="13" t="s">
        <v>97</v>
      </c>
      <c r="F200" s="13" t="s">
        <v>176</v>
      </c>
      <c r="G200" s="13">
        <v>0.32345411000000002</v>
      </c>
      <c r="H200" s="37">
        <v>25278.68</v>
      </c>
      <c r="I200" t="s">
        <v>178</v>
      </c>
    </row>
    <row r="201" spans="2:18" ht="15" thickBot="1">
      <c r="E201" s="13" t="s">
        <v>98</v>
      </c>
      <c r="F201" s="13" t="s">
        <v>163</v>
      </c>
      <c r="G201" s="13">
        <v>190</v>
      </c>
      <c r="H201" s="13">
        <f>G201</f>
        <v>190</v>
      </c>
    </row>
    <row r="202" spans="2:18" ht="15" thickBot="1">
      <c r="E202" s="13" t="s">
        <v>167</v>
      </c>
      <c r="F202" s="13"/>
      <c r="G202" s="13">
        <v>0</v>
      </c>
      <c r="H202" s="13">
        <v>0</v>
      </c>
      <c r="L202" s="43" t="s">
        <v>142</v>
      </c>
      <c r="M202" s="43" t="s">
        <v>168</v>
      </c>
      <c r="N202" s="44" t="s">
        <v>169</v>
      </c>
      <c r="O202" s="11"/>
      <c r="P202" s="11"/>
      <c r="Q202" s="11"/>
      <c r="R202" s="45"/>
    </row>
    <row r="203" spans="2:18" ht="15" thickBot="1">
      <c r="E203" s="13" t="s">
        <v>181</v>
      </c>
      <c r="F203" s="13" t="s">
        <v>164</v>
      </c>
      <c r="G203" s="13">
        <v>2196</v>
      </c>
      <c r="H203" s="13">
        <f>G203</f>
        <v>2196</v>
      </c>
      <c r="L203" s="43" t="s">
        <v>142</v>
      </c>
      <c r="M203" s="43" t="s">
        <v>168</v>
      </c>
      <c r="N203" s="44" t="s">
        <v>169</v>
      </c>
      <c r="O203" s="11"/>
      <c r="P203" s="11"/>
      <c r="Q203" s="11"/>
      <c r="R203" s="45"/>
    </row>
    <row r="204" spans="2:18">
      <c r="E204" s="13" t="s">
        <v>161</v>
      </c>
      <c r="F204" s="13" t="s">
        <v>163</v>
      </c>
      <c r="G204" s="13">
        <v>0</v>
      </c>
      <c r="H204" s="13">
        <v>0</v>
      </c>
      <c r="L204" s="40" t="s">
        <v>170</v>
      </c>
      <c r="M204" s="40" t="s">
        <v>171</v>
      </c>
      <c r="N204" s="41" t="s">
        <v>172</v>
      </c>
      <c r="O204" s="10"/>
      <c r="P204" s="10"/>
      <c r="Q204" s="10"/>
      <c r="R204" s="42"/>
    </row>
    <row r="205" spans="2:18" ht="15" thickBot="1">
      <c r="E205" s="13" t="s">
        <v>161</v>
      </c>
      <c r="F205" s="13" t="s">
        <v>164</v>
      </c>
      <c r="G205" s="13">
        <v>0</v>
      </c>
      <c r="H205" s="13">
        <v>0</v>
      </c>
      <c r="L205" s="39" t="s">
        <v>173</v>
      </c>
      <c r="M205" s="39" t="s">
        <v>174</v>
      </c>
      <c r="N205" s="38" t="s">
        <v>175</v>
      </c>
      <c r="O205" s="8"/>
      <c r="P205" s="8"/>
      <c r="Q205" s="8"/>
      <c r="R205" s="9"/>
    </row>
    <row r="206" spans="2:18" ht="15" thickBot="1">
      <c r="E206" s="13" t="s">
        <v>161</v>
      </c>
      <c r="F206" s="13" t="s">
        <v>176</v>
      </c>
      <c r="G206" s="13">
        <v>7.7420710000000004E-2</v>
      </c>
      <c r="H206" s="37">
        <v>6044.72</v>
      </c>
      <c r="O206" s="8"/>
      <c r="P206" s="8"/>
      <c r="Q206" s="8"/>
      <c r="R206" s="9"/>
    </row>
    <row r="207" spans="2:18">
      <c r="E207" s="13" t="s">
        <v>162</v>
      </c>
      <c r="F207" s="13" t="s">
        <v>163</v>
      </c>
      <c r="G207" s="13">
        <v>0</v>
      </c>
      <c r="H207" s="13">
        <v>0</v>
      </c>
    </row>
    <row r="208" spans="2:18">
      <c r="E208" s="13" t="s">
        <v>162</v>
      </c>
      <c r="F208" s="13" t="s">
        <v>164</v>
      </c>
      <c r="G208" s="13">
        <v>5000</v>
      </c>
      <c r="H208" s="13">
        <f>G208</f>
        <v>5000</v>
      </c>
    </row>
    <row r="209" spans="2:18">
      <c r="E209" s="13" t="s">
        <v>162</v>
      </c>
      <c r="F209" s="13" t="s">
        <v>176</v>
      </c>
      <c r="G209" s="13">
        <v>0.14131068999999999</v>
      </c>
      <c r="H209" s="14">
        <v>11033</v>
      </c>
    </row>
    <row r="210" spans="2:18">
      <c r="D210" s="19" t="s">
        <v>180</v>
      </c>
      <c r="E210" s="13" t="s">
        <v>167</v>
      </c>
      <c r="F210" s="13" t="s">
        <v>179</v>
      </c>
      <c r="G210" s="13">
        <v>2857.7713789999998</v>
      </c>
      <c r="H210" s="71">
        <v>5313</v>
      </c>
      <c r="I210" s="15" t="s">
        <v>87</v>
      </c>
      <c r="J210" s="15" t="s">
        <v>86</v>
      </c>
    </row>
    <row r="211" spans="2:18">
      <c r="G211" s="18" t="s">
        <v>100</v>
      </c>
      <c r="H211" s="46">
        <f>SUM(H193:H210)</f>
        <v>68739.39</v>
      </c>
      <c r="I211" s="19">
        <f>H211*J3</f>
        <v>6447754.7819999997</v>
      </c>
      <c r="J211" s="19">
        <f>H211*J2</f>
        <v>10963932.705</v>
      </c>
    </row>
    <row r="212" spans="2:18">
      <c r="B212" s="18" t="s">
        <v>159</v>
      </c>
      <c r="C212" s="35"/>
      <c r="D212" s="15" t="s">
        <v>87</v>
      </c>
      <c r="E212" s="15" t="s">
        <v>86</v>
      </c>
      <c r="F212" s="28"/>
      <c r="G212" s="28"/>
      <c r="H212" s="28"/>
      <c r="I212" s="28"/>
      <c r="J212" s="15" t="s">
        <v>87</v>
      </c>
      <c r="K212" s="15" t="s">
        <v>86</v>
      </c>
      <c r="L212" s="28"/>
      <c r="M212" s="28"/>
      <c r="N212" s="28"/>
      <c r="O212" s="28"/>
      <c r="P212" s="28"/>
      <c r="Q212" s="28"/>
      <c r="R212" s="28"/>
    </row>
    <row r="213" spans="2:18" ht="22.2">
      <c r="C213" s="29" t="s">
        <v>148</v>
      </c>
      <c r="D213" s="72">
        <f>D215*J3</f>
        <v>4711386.3999999994</v>
      </c>
      <c r="E213" s="19">
        <f>D215*J2</f>
        <v>8011366</v>
      </c>
      <c r="F213" s="28"/>
      <c r="G213" s="28"/>
      <c r="H213" s="28"/>
      <c r="I213" s="29" t="s">
        <v>149</v>
      </c>
      <c r="J213" s="72">
        <f>J215*J3</f>
        <v>4813253.2</v>
      </c>
      <c r="K213" s="19">
        <f>J215*J2</f>
        <v>8184583</v>
      </c>
      <c r="L213" s="28"/>
      <c r="M213" s="28"/>
      <c r="N213" s="15" t="s">
        <v>87</v>
      </c>
      <c r="O213" s="15" t="s">
        <v>86</v>
      </c>
    </row>
    <row r="214" spans="2:18" ht="22.2">
      <c r="C214" s="28"/>
      <c r="D214" s="30" t="s">
        <v>150</v>
      </c>
      <c r="E214" s="30" t="s">
        <v>151</v>
      </c>
      <c r="F214" s="30" t="s">
        <v>102</v>
      </c>
      <c r="G214" s="28"/>
      <c r="H214" s="28"/>
      <c r="I214" s="28"/>
      <c r="J214" s="30" t="s">
        <v>150</v>
      </c>
      <c r="K214" s="30" t="s">
        <v>151</v>
      </c>
      <c r="L214" s="30" t="s">
        <v>102</v>
      </c>
      <c r="M214" s="29" t="s">
        <v>160</v>
      </c>
      <c r="N214" s="19">
        <f>N216*J3</f>
        <v>716913.4</v>
      </c>
      <c r="O214" s="19">
        <f>N216*J2</f>
        <v>1219058.5</v>
      </c>
      <c r="P214" s="28"/>
    </row>
    <row r="215" spans="2:18">
      <c r="C215" s="30" t="s">
        <v>152</v>
      </c>
      <c r="D215" s="31">
        <v>50228</v>
      </c>
      <c r="E215" s="31">
        <v>8011885</v>
      </c>
      <c r="F215" s="32"/>
      <c r="G215" s="28"/>
      <c r="H215" s="28"/>
      <c r="I215" s="30" t="s">
        <v>152</v>
      </c>
      <c r="J215" s="31">
        <v>51314</v>
      </c>
      <c r="K215" s="31">
        <f>J215*J2</f>
        <v>8184583</v>
      </c>
      <c r="L215" s="32"/>
      <c r="M215" s="28"/>
      <c r="N215" s="30" t="s">
        <v>150</v>
      </c>
      <c r="O215" s="30" t="s">
        <v>151</v>
      </c>
      <c r="P215" s="30" t="s">
        <v>102</v>
      </c>
    </row>
    <row r="216" spans="2:18">
      <c r="C216" s="30" t="s">
        <v>153</v>
      </c>
      <c r="D216" s="31">
        <f>D218+D217</f>
        <v>30734</v>
      </c>
      <c r="E216" s="31">
        <f>SUM(E217:E218)</f>
        <v>4902390.570797164</v>
      </c>
      <c r="F216" s="32"/>
      <c r="G216" s="28"/>
      <c r="H216" s="28"/>
      <c r="I216" s="30" t="s">
        <v>153</v>
      </c>
      <c r="J216" s="31">
        <f>J217+J218</f>
        <v>30396</v>
      </c>
      <c r="K216" s="31">
        <f>SUM(K217:K218)</f>
        <v>4848476.0782830287</v>
      </c>
      <c r="L216" s="32"/>
      <c r="M216" s="30" t="s">
        <v>152</v>
      </c>
      <c r="N216" s="31">
        <v>7643</v>
      </c>
      <c r="O216" s="31">
        <f>N216*J2</f>
        <v>1219058.5</v>
      </c>
      <c r="P216" s="32"/>
    </row>
    <row r="217" spans="2:18">
      <c r="C217" s="30" t="s">
        <v>154</v>
      </c>
      <c r="D217" s="31">
        <v>14154</v>
      </c>
      <c r="E217" s="31">
        <f>D217*F217</f>
        <v>2257709.251612646</v>
      </c>
      <c r="F217" s="32">
        <f>E215/D215</f>
        <v>159.51033288205781</v>
      </c>
      <c r="G217" s="28"/>
      <c r="H217" s="28"/>
      <c r="I217" s="30" t="s">
        <v>154</v>
      </c>
      <c r="J217" s="31">
        <v>13794</v>
      </c>
      <c r="K217" s="31">
        <f>J217*L217</f>
        <v>2200285.5317751053</v>
      </c>
      <c r="L217" s="32">
        <f>E215/D215</f>
        <v>159.51033288205781</v>
      </c>
      <c r="M217" s="30" t="s">
        <v>153</v>
      </c>
      <c r="N217" s="31">
        <f>N218+N219</f>
        <v>0</v>
      </c>
      <c r="O217" s="31" t="s">
        <v>344</v>
      </c>
      <c r="P217" s="32"/>
    </row>
    <row r="218" spans="2:18">
      <c r="C218" s="30" t="s">
        <v>155</v>
      </c>
      <c r="D218" s="31">
        <v>16580</v>
      </c>
      <c r="E218" s="31">
        <f>F217*D218</f>
        <v>2644681.3191845184</v>
      </c>
      <c r="F218" s="32"/>
      <c r="G218" s="28"/>
      <c r="H218" s="28"/>
      <c r="I218" s="30" t="s">
        <v>155</v>
      </c>
      <c r="J218" s="31">
        <v>16602</v>
      </c>
      <c r="K218" s="31">
        <f>L217*J218</f>
        <v>2648190.5465079239</v>
      </c>
      <c r="L218" s="32"/>
      <c r="M218" s="30" t="s">
        <v>154</v>
      </c>
      <c r="N218" s="33"/>
      <c r="O218" s="33"/>
      <c r="P218" s="32">
        <f>E215/D215</f>
        <v>159.51033288205781</v>
      </c>
    </row>
    <row r="219" spans="2:18" ht="28.8">
      <c r="C219" s="34" t="s">
        <v>156</v>
      </c>
      <c r="D219" s="31">
        <v>21877</v>
      </c>
      <c r="E219" s="31">
        <f>D219*F217</f>
        <v>3489607.5524607785</v>
      </c>
      <c r="F219" s="32"/>
      <c r="G219" s="28"/>
      <c r="H219" s="28"/>
      <c r="I219" s="34" t="s">
        <v>156</v>
      </c>
      <c r="J219" s="31">
        <v>22628</v>
      </c>
      <c r="K219" s="31">
        <f>J219*L217</f>
        <v>3609399.8124552043</v>
      </c>
      <c r="L219" s="32"/>
      <c r="M219" s="30" t="s">
        <v>155</v>
      </c>
      <c r="N219" s="31"/>
      <c r="O219" s="31">
        <f>P218*N219</f>
        <v>0</v>
      </c>
      <c r="P219" s="32"/>
    </row>
    <row r="220" spans="2:18" ht="28.8">
      <c r="C220" s="28"/>
      <c r="D220" s="28"/>
      <c r="E220" s="28"/>
      <c r="F220" s="28"/>
      <c r="G220" s="28"/>
      <c r="H220" s="28"/>
      <c r="I220" s="28"/>
      <c r="J220" s="28"/>
      <c r="K220" s="28"/>
      <c r="L220" s="28"/>
      <c r="M220" s="34" t="s">
        <v>156</v>
      </c>
      <c r="N220" s="31">
        <v>7643</v>
      </c>
      <c r="O220" s="31">
        <f>N220*P218</f>
        <v>1219137.4742175678</v>
      </c>
      <c r="P220" s="32"/>
    </row>
    <row r="221" spans="2:18">
      <c r="C221" s="35" t="s">
        <v>157</v>
      </c>
      <c r="D221" s="35"/>
      <c r="E221" s="28"/>
      <c r="F221" s="36">
        <f>D216/D215*100</f>
        <v>61.188978259138324</v>
      </c>
      <c r="G221" s="28"/>
      <c r="H221" s="28"/>
      <c r="I221" s="35" t="s">
        <v>157</v>
      </c>
      <c r="J221" s="35"/>
      <c r="K221" s="28"/>
      <c r="L221" s="36">
        <f>J216/J215*100</f>
        <v>59.23529641033636</v>
      </c>
      <c r="M221" s="28"/>
      <c r="N221" s="28"/>
      <c r="O221" s="28"/>
      <c r="P221" s="28"/>
    </row>
    <row r="222" spans="2:18">
      <c r="C222" s="35" t="s">
        <v>158</v>
      </c>
      <c r="D222" s="35"/>
      <c r="E222" s="28"/>
      <c r="F222" s="36">
        <f>D219/D215*100</f>
        <v>43.555387433304134</v>
      </c>
      <c r="G222" s="28"/>
      <c r="H222" s="28"/>
      <c r="I222" s="35" t="s">
        <v>158</v>
      </c>
      <c r="J222" s="35"/>
      <c r="K222" s="28"/>
      <c r="L222" s="36">
        <f>J219/J215*100</f>
        <v>44.097127489573992</v>
      </c>
      <c r="M222" s="35" t="s">
        <v>157</v>
      </c>
      <c r="N222" s="35"/>
      <c r="O222" s="28"/>
      <c r="P222" s="36">
        <f>N217/N216*100</f>
        <v>0</v>
      </c>
    </row>
    <row r="223" spans="2:18">
      <c r="C223" s="28"/>
      <c r="D223" s="28"/>
      <c r="E223" s="28"/>
      <c r="F223" s="28"/>
      <c r="G223" s="28"/>
      <c r="H223" s="28"/>
      <c r="I223" s="28"/>
      <c r="J223" s="28"/>
      <c r="K223" s="28"/>
      <c r="L223" s="28"/>
      <c r="M223" s="35" t="s">
        <v>158</v>
      </c>
      <c r="N223" s="35"/>
      <c r="O223" s="28"/>
      <c r="P223" s="36">
        <f>N220/N216*100</f>
        <v>100</v>
      </c>
      <c r="Q223" s="28"/>
      <c r="R223" s="28"/>
    </row>
    <row r="224" spans="2:18">
      <c r="C224" s="28"/>
      <c r="D224" s="28"/>
      <c r="E224" s="28"/>
      <c r="F224" s="28"/>
      <c r="G224" s="28"/>
      <c r="H224" s="28"/>
      <c r="I224" s="28"/>
      <c r="J224" s="28"/>
      <c r="K224" s="28"/>
      <c r="L224" s="28"/>
      <c r="M224" s="28"/>
      <c r="N224" s="28"/>
      <c r="O224" s="28"/>
      <c r="P224" s="28"/>
      <c r="Q224" s="28"/>
      <c r="R224" s="28"/>
    </row>
    <row r="225" spans="2:12" ht="25.8">
      <c r="B225" s="73" t="s">
        <v>345</v>
      </c>
    </row>
    <row r="226" spans="2:12" ht="33.6">
      <c r="B226" s="68" t="s">
        <v>341</v>
      </c>
      <c r="C226" s="69" t="s">
        <v>342</v>
      </c>
      <c r="D226" s="70" t="s">
        <v>89</v>
      </c>
      <c r="E226" s="70" t="s">
        <v>87</v>
      </c>
      <c r="F226" s="70" t="s">
        <v>86</v>
      </c>
    </row>
    <row r="227" spans="2:12" ht="33.6">
      <c r="B227" s="65"/>
      <c r="C227" s="66" t="s">
        <v>343</v>
      </c>
      <c r="D227" s="67">
        <f>H11+H37+F52+J62+H69+H73+H77+H99+H107+H116+H120+F126+H146+H151+H155+H161+H168+H175+H184+H211+D215+J215+N216</f>
        <v>1696393.6944360139</v>
      </c>
      <c r="E227" s="67">
        <f>F11+G37+G52+H62+F69+F73+F77+G99+G107+G116+G120+G126+F138+F146+G151+F155+G161+G168+F175+F184+I211+D213+J213+N214</f>
        <v>159164895.67023531</v>
      </c>
      <c r="F227" s="67">
        <f>G11+F37+H52+I62+G69+G73+G77+F99+F107+F116+F120+H126+G138+G146+F151+G155+F161+F168+G175+G184+J211+E213+K213+O214</f>
        <v>270774489.38499999</v>
      </c>
      <c r="I227" s="66"/>
    </row>
    <row r="228" spans="2:12" ht="33.6">
      <c r="B228" s="65"/>
      <c r="C228" s="65"/>
      <c r="D228" s="65" t="s">
        <v>140</v>
      </c>
      <c r="E228" s="74"/>
      <c r="F228" s="65"/>
    </row>
    <row r="230" spans="2:12" ht="19.8">
      <c r="B230" s="17"/>
      <c r="C230" s="17"/>
    </row>
    <row r="231" spans="2:12" ht="19.8">
      <c r="B231" s="17"/>
      <c r="C231" s="17"/>
    </row>
    <row r="232" spans="2:12" ht="19.8">
      <c r="B232" s="54" t="s">
        <v>313</v>
      </c>
      <c r="C232" s="17"/>
      <c r="H232" t="s">
        <v>337</v>
      </c>
    </row>
    <row r="233" spans="2:12" ht="19.8">
      <c r="B233" s="62" t="s">
        <v>330</v>
      </c>
      <c r="C233" s="17"/>
      <c r="D233" s="62" t="s">
        <v>331</v>
      </c>
      <c r="G233" s="13" t="s">
        <v>332</v>
      </c>
      <c r="H233" s="14">
        <v>67430317</v>
      </c>
    </row>
    <row r="234" spans="2:12" ht="19.8">
      <c r="B234" s="63" t="s">
        <v>240</v>
      </c>
      <c r="C234" s="63" t="s">
        <v>314</v>
      </c>
      <c r="D234" s="63" t="s">
        <v>240</v>
      </c>
      <c r="E234" s="63" t="s">
        <v>314</v>
      </c>
      <c r="G234" s="13" t="s">
        <v>333</v>
      </c>
      <c r="H234" s="14">
        <v>10400000</v>
      </c>
      <c r="J234" t="s">
        <v>86</v>
      </c>
      <c r="K234" t="s">
        <v>89</v>
      </c>
      <c r="L234" t="s">
        <v>87</v>
      </c>
    </row>
    <row r="235" spans="2:12" ht="19.8">
      <c r="B235" s="64" t="s">
        <v>87</v>
      </c>
      <c r="C235" s="64" t="s">
        <v>328</v>
      </c>
      <c r="D235" s="64" t="s">
        <v>87</v>
      </c>
      <c r="E235" s="64" t="s">
        <v>340</v>
      </c>
      <c r="G235" s="13" t="s">
        <v>334</v>
      </c>
      <c r="H235" s="14">
        <f>3735000*J4</f>
        <v>6349500</v>
      </c>
      <c r="J235">
        <v>268000000</v>
      </c>
    </row>
    <row r="236" spans="2:12" ht="19.8">
      <c r="B236" s="64" t="s">
        <v>89</v>
      </c>
      <c r="C236" s="64" t="s">
        <v>326</v>
      </c>
      <c r="D236" s="64" t="s">
        <v>89</v>
      </c>
      <c r="E236" s="64" t="s">
        <v>339</v>
      </c>
      <c r="G236" s="13" t="s">
        <v>335</v>
      </c>
      <c r="H236" s="14">
        <f>1495000*J4</f>
        <v>2541500</v>
      </c>
      <c r="J236">
        <v>86721317</v>
      </c>
    </row>
    <row r="237" spans="2:12" ht="19.8">
      <c r="B237" s="64" t="s">
        <v>86</v>
      </c>
      <c r="C237" s="64" t="s">
        <v>327</v>
      </c>
      <c r="D237" s="64" t="s">
        <v>86</v>
      </c>
      <c r="E237" s="64" t="s">
        <v>338</v>
      </c>
      <c r="G237" s="64" t="s">
        <v>336</v>
      </c>
      <c r="H237" s="14">
        <f>SUM(H233:H236)</f>
        <v>86721317</v>
      </c>
      <c r="J237">
        <f>SUM(J235:J236)</f>
        <v>354721317</v>
      </c>
      <c r="K237">
        <f>J237/J2</f>
        <v>2223958.1003134795</v>
      </c>
      <c r="L237">
        <f>J237/J4</f>
        <v>208659598.23529413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DA91E-835C-4690-B9F7-95957DE47B43}">
  <dimension ref="A2:G89"/>
  <sheetViews>
    <sheetView tabSelected="1" zoomScale="115" zoomScaleNormal="115" workbookViewId="0">
      <selection activeCell="E91" sqref="E91"/>
    </sheetView>
  </sheetViews>
  <sheetFormatPr defaultRowHeight="14.4"/>
  <cols>
    <col min="1" max="1" width="26.21875" bestFit="1" customWidth="1"/>
    <col min="2" max="2" width="26.33203125" bestFit="1" customWidth="1"/>
    <col min="3" max="3" width="21.44140625" bestFit="1" customWidth="1"/>
    <col min="4" max="5" width="26.5546875" bestFit="1" customWidth="1"/>
    <col min="6" max="6" width="9.109375" customWidth="1"/>
    <col min="7" max="7" width="13.6640625" customWidth="1"/>
  </cols>
  <sheetData>
    <row r="2" spans="1:7" ht="23.4">
      <c r="A2" s="81" t="s">
        <v>346</v>
      </c>
      <c r="B2" s="81" t="s">
        <v>347</v>
      </c>
      <c r="C2" s="81" t="s">
        <v>348</v>
      </c>
      <c r="D2" s="81" t="s">
        <v>226</v>
      </c>
      <c r="E2" s="81" t="s">
        <v>87</v>
      </c>
      <c r="F2" s="81" t="s">
        <v>89</v>
      </c>
      <c r="G2" s="81" t="s">
        <v>86</v>
      </c>
    </row>
    <row r="3" spans="1:7">
      <c r="A3" s="76" t="s">
        <v>83</v>
      </c>
      <c r="B3" s="77" t="s">
        <v>103</v>
      </c>
      <c r="C3" s="77" t="s">
        <v>79</v>
      </c>
      <c r="D3" s="14" t="s">
        <v>104</v>
      </c>
      <c r="E3" s="14">
        <v>10500000</v>
      </c>
      <c r="F3" s="14">
        <f>E3/Formula!B3</f>
        <v>111940.29850746269</v>
      </c>
      <c r="G3" s="14">
        <f>E3*Formula!B4</f>
        <v>17850000</v>
      </c>
    </row>
    <row r="4" spans="1:7">
      <c r="A4" s="82" t="s">
        <v>389</v>
      </c>
      <c r="B4" s="82" t="s">
        <v>389</v>
      </c>
      <c r="C4" s="82" t="s">
        <v>389</v>
      </c>
      <c r="D4" s="13" t="s">
        <v>105</v>
      </c>
      <c r="E4" s="14">
        <v>8500000</v>
      </c>
      <c r="F4" s="14">
        <f>E4/Formula!B3</f>
        <v>90618.336886993609</v>
      </c>
      <c r="G4" s="14">
        <f>E4*Formula!B4</f>
        <v>14450000</v>
      </c>
    </row>
    <row r="5" spans="1:7">
      <c r="A5" s="82" t="s">
        <v>389</v>
      </c>
      <c r="B5" s="82" t="s">
        <v>389</v>
      </c>
      <c r="C5" s="82" t="s">
        <v>389</v>
      </c>
      <c r="D5" s="13" t="s">
        <v>106</v>
      </c>
      <c r="E5" s="14">
        <v>7500000</v>
      </c>
      <c r="F5" s="14">
        <f>E5/Formula!B3</f>
        <v>79957.356076759068</v>
      </c>
      <c r="G5" s="14">
        <f>E5*Formula!B4</f>
        <v>12750000</v>
      </c>
    </row>
    <row r="6" spans="1:7">
      <c r="A6" s="82" t="s">
        <v>389</v>
      </c>
      <c r="B6" s="82" t="s">
        <v>389</v>
      </c>
      <c r="C6" s="82" t="s">
        <v>389</v>
      </c>
      <c r="D6" s="13" t="s">
        <v>107</v>
      </c>
      <c r="E6" s="14">
        <v>5500000</v>
      </c>
      <c r="F6" s="14">
        <f>E6/Formula!B3</f>
        <v>58635.394456289978</v>
      </c>
      <c r="G6" s="14">
        <f>E6*Formula!B4</f>
        <v>9350000</v>
      </c>
    </row>
    <row r="7" spans="1:7">
      <c r="A7" s="82" t="s">
        <v>389</v>
      </c>
      <c r="B7" s="82" t="s">
        <v>389</v>
      </c>
      <c r="C7" s="82" t="s">
        <v>389</v>
      </c>
      <c r="D7" s="13" t="s">
        <v>108</v>
      </c>
      <c r="E7" s="14">
        <v>4500000</v>
      </c>
      <c r="F7" s="14">
        <f>E7/Formula!B3</f>
        <v>47974.413646055436</v>
      </c>
      <c r="G7" s="14">
        <f>E7*Formula!B4</f>
        <v>7650000</v>
      </c>
    </row>
    <row r="8" spans="1:7">
      <c r="A8" s="82" t="s">
        <v>389</v>
      </c>
      <c r="B8" s="82" t="s">
        <v>389</v>
      </c>
      <c r="C8" s="82" t="s">
        <v>389</v>
      </c>
      <c r="D8" s="13" t="s">
        <v>109</v>
      </c>
      <c r="E8" s="14">
        <v>2000000</v>
      </c>
      <c r="F8" s="14">
        <f>E8/Formula!B3</f>
        <v>21321.961620469083</v>
      </c>
      <c r="G8" s="14">
        <f>E8*Formula!B4</f>
        <v>3400000</v>
      </c>
    </row>
    <row r="9" spans="1:7">
      <c r="A9" s="76" t="s">
        <v>83</v>
      </c>
      <c r="B9" s="77" t="s">
        <v>126</v>
      </c>
      <c r="C9" s="77" t="s">
        <v>79</v>
      </c>
      <c r="D9" s="13" t="s">
        <v>128</v>
      </c>
      <c r="E9" s="14">
        <f>F9*Formula!B3</f>
        <v>27391288.399999999</v>
      </c>
      <c r="F9" s="14">
        <v>292018</v>
      </c>
      <c r="G9" s="14">
        <f>F9*Formula!B2</f>
        <v>46576871</v>
      </c>
    </row>
    <row r="10" spans="1:7">
      <c r="A10" s="82" t="s">
        <v>389</v>
      </c>
      <c r="B10" s="82" t="s">
        <v>389</v>
      </c>
      <c r="C10" s="82" t="s">
        <v>389</v>
      </c>
      <c r="D10" s="13" t="s">
        <v>128</v>
      </c>
      <c r="E10" s="14">
        <f>F10*Formula!B3</f>
        <v>475566</v>
      </c>
      <c r="F10" s="14">
        <v>5070</v>
      </c>
      <c r="G10" s="14">
        <f>F10*Formula!B2</f>
        <v>808665</v>
      </c>
    </row>
    <row r="11" spans="1:7">
      <c r="A11" s="82" t="s">
        <v>389</v>
      </c>
      <c r="B11" s="82" t="s">
        <v>389</v>
      </c>
      <c r="C11" s="82" t="s">
        <v>389</v>
      </c>
      <c r="D11" s="13" t="s">
        <v>81</v>
      </c>
      <c r="E11" s="14">
        <f>F11*Formula!B3</f>
        <v>8534955.7999999989</v>
      </c>
      <c r="F11" s="14">
        <v>90991</v>
      </c>
      <c r="G11" s="14">
        <f>F11*Formula!B2</f>
        <v>14513064.5</v>
      </c>
    </row>
    <row r="12" spans="1:7">
      <c r="A12" s="82" t="s">
        <v>389</v>
      </c>
      <c r="B12" s="82" t="s">
        <v>389</v>
      </c>
      <c r="C12" s="82" t="s">
        <v>389</v>
      </c>
      <c r="D12" s="13" t="s">
        <v>81</v>
      </c>
      <c r="E12" s="14">
        <f>F12*Formula!B3</f>
        <v>220523.8</v>
      </c>
      <c r="F12" s="14">
        <v>2351</v>
      </c>
      <c r="G12" s="14">
        <f>F12*Formula!B2</f>
        <v>374984.5</v>
      </c>
    </row>
    <row r="13" spans="1:7">
      <c r="A13" s="82" t="s">
        <v>389</v>
      </c>
      <c r="B13" s="82" t="s">
        <v>389</v>
      </c>
      <c r="C13" s="82" t="s">
        <v>389</v>
      </c>
      <c r="D13" s="13" t="s">
        <v>84</v>
      </c>
      <c r="E13" s="14">
        <f>F13*Formula!B3</f>
        <v>1594600</v>
      </c>
      <c r="F13" s="14">
        <v>17000</v>
      </c>
      <c r="G13" s="14">
        <f>F13*Formula!B2</f>
        <v>2711500</v>
      </c>
    </row>
    <row r="14" spans="1:7">
      <c r="A14" s="82" t="s">
        <v>389</v>
      </c>
      <c r="B14" s="82" t="s">
        <v>389</v>
      </c>
      <c r="C14" s="82" t="s">
        <v>389</v>
      </c>
      <c r="D14" s="13" t="s">
        <v>129</v>
      </c>
      <c r="E14" s="14">
        <f>F14*Formula!B3</f>
        <v>440015.8</v>
      </c>
      <c r="F14" s="14">
        <v>4691</v>
      </c>
      <c r="G14" s="14">
        <f>F14*Formula!B2</f>
        <v>748214.5</v>
      </c>
    </row>
    <row r="15" spans="1:7">
      <c r="A15" s="82" t="s">
        <v>389</v>
      </c>
      <c r="B15" s="82" t="s">
        <v>389</v>
      </c>
      <c r="C15" s="82" t="s">
        <v>389</v>
      </c>
      <c r="D15" s="13" t="s">
        <v>130</v>
      </c>
      <c r="E15" s="14">
        <f>F15*Formula!B3</f>
        <v>83013</v>
      </c>
      <c r="F15" s="14">
        <v>885</v>
      </c>
      <c r="G15" s="14">
        <f>F15*Formula!B2</f>
        <v>141157.5</v>
      </c>
    </row>
    <row r="16" spans="1:7">
      <c r="A16" s="76" t="s">
        <v>83</v>
      </c>
      <c r="B16" s="77" t="s">
        <v>363</v>
      </c>
      <c r="C16" s="77" t="s">
        <v>79</v>
      </c>
      <c r="D16" s="13" t="s">
        <v>352</v>
      </c>
      <c r="E16" s="14">
        <v>10280</v>
      </c>
      <c r="F16" s="14">
        <f>E16/Formula!B3</f>
        <v>109.59488272921109</v>
      </c>
      <c r="G16" s="14">
        <f>F16*Formula!B2</f>
        <v>17480.383795309168</v>
      </c>
    </row>
    <row r="17" spans="1:7">
      <c r="A17" s="82" t="s">
        <v>389</v>
      </c>
      <c r="B17" s="82" t="s">
        <v>389</v>
      </c>
      <c r="C17" s="82" t="s">
        <v>389</v>
      </c>
      <c r="D17" s="13" t="s">
        <v>353</v>
      </c>
      <c r="E17" s="14">
        <v>10000</v>
      </c>
      <c r="F17" s="14">
        <f>E17/Formula!B3</f>
        <v>106.60980810234543</v>
      </c>
      <c r="G17" s="14">
        <f>F17*Formula!B2</f>
        <v>17004.264392324094</v>
      </c>
    </row>
    <row r="18" spans="1:7">
      <c r="A18" s="82" t="s">
        <v>389</v>
      </c>
      <c r="B18" s="82" t="s">
        <v>389</v>
      </c>
      <c r="C18" s="82" t="s">
        <v>389</v>
      </c>
      <c r="D18" s="13" t="s">
        <v>354</v>
      </c>
      <c r="E18" s="14">
        <v>385004</v>
      </c>
      <c r="F18" s="14">
        <f>E18/Formula!B3</f>
        <v>4104.5202558635392</v>
      </c>
      <c r="G18" s="14">
        <f>F18*Formula!B2</f>
        <v>654670.98081023456</v>
      </c>
    </row>
    <row r="19" spans="1:7">
      <c r="A19" s="82" t="s">
        <v>389</v>
      </c>
      <c r="B19" s="82" t="s">
        <v>389</v>
      </c>
      <c r="C19" s="82" t="s">
        <v>389</v>
      </c>
      <c r="D19" s="13" t="s">
        <v>355</v>
      </c>
      <c r="E19" s="14">
        <v>2141703</v>
      </c>
      <c r="F19" s="14">
        <f>E19/Formula!B3</f>
        <v>22832.654584221749</v>
      </c>
      <c r="G19" s="14">
        <f>F19*Formula!B2</f>
        <v>3641808.406183369</v>
      </c>
    </row>
    <row r="20" spans="1:7">
      <c r="A20" s="82" t="s">
        <v>389</v>
      </c>
      <c r="B20" s="82" t="s">
        <v>389</v>
      </c>
      <c r="C20" s="82" t="s">
        <v>389</v>
      </c>
      <c r="D20" s="13" t="s">
        <v>356</v>
      </c>
      <c r="E20" s="14">
        <f>3637285+963533</f>
        <v>4600818</v>
      </c>
      <c r="F20" s="14">
        <f>E20/Formula!B3</f>
        <v>49049.232409381664</v>
      </c>
      <c r="G20" s="14">
        <f>F20*Formula!B2</f>
        <v>7823352.5692963758</v>
      </c>
    </row>
    <row r="21" spans="1:7">
      <c r="A21" s="82" t="s">
        <v>389</v>
      </c>
      <c r="B21" s="82" t="s">
        <v>389</v>
      </c>
      <c r="C21" s="82" t="s">
        <v>389</v>
      </c>
      <c r="D21" s="13" t="s">
        <v>357</v>
      </c>
      <c r="E21" s="14">
        <v>30000</v>
      </c>
      <c r="F21" s="14">
        <f>E21/Formula!B3</f>
        <v>319.82942430703628</v>
      </c>
      <c r="G21" s="14">
        <f>F21*Formula!B2</f>
        <v>51012.793176972285</v>
      </c>
    </row>
    <row r="22" spans="1:7">
      <c r="A22" s="82" t="s">
        <v>389</v>
      </c>
      <c r="B22" s="82" t="s">
        <v>389</v>
      </c>
      <c r="C22" s="82" t="s">
        <v>389</v>
      </c>
      <c r="D22" s="13" t="s">
        <v>359</v>
      </c>
      <c r="E22" s="14">
        <v>10000</v>
      </c>
      <c r="F22" s="14">
        <f>E22/Formula!B3</f>
        <v>106.60980810234543</v>
      </c>
      <c r="G22" s="14">
        <f>F22*Formula!B2</f>
        <v>17004.264392324094</v>
      </c>
    </row>
    <row r="23" spans="1:7">
      <c r="A23" s="82" t="s">
        <v>389</v>
      </c>
      <c r="B23" s="82" t="s">
        <v>389</v>
      </c>
      <c r="C23" s="82" t="s">
        <v>389</v>
      </c>
      <c r="D23" s="13" t="s">
        <v>358</v>
      </c>
      <c r="E23" s="14">
        <v>10000</v>
      </c>
      <c r="F23" s="14">
        <f>E23/Formula!B3</f>
        <v>106.60980810234543</v>
      </c>
      <c r="G23" s="14">
        <f>F23*Formula!B2</f>
        <v>17004.264392324094</v>
      </c>
    </row>
    <row r="24" spans="1:7">
      <c r="A24" s="82" t="s">
        <v>389</v>
      </c>
      <c r="B24" s="82" t="s">
        <v>389</v>
      </c>
      <c r="C24" s="82" t="s">
        <v>389</v>
      </c>
      <c r="D24" s="13" t="s">
        <v>360</v>
      </c>
      <c r="E24" s="14">
        <v>83000</v>
      </c>
      <c r="F24" s="14">
        <f>E24/Formula!B3</f>
        <v>884.86140724946699</v>
      </c>
      <c r="G24" s="14">
        <f>F24*Formula!B2</f>
        <v>141135.39445629</v>
      </c>
    </row>
    <row r="25" spans="1:7">
      <c r="A25" s="82" t="s">
        <v>389</v>
      </c>
      <c r="B25" s="82" t="s">
        <v>389</v>
      </c>
      <c r="C25" s="82" t="s">
        <v>389</v>
      </c>
      <c r="D25" s="13" t="s">
        <v>361</v>
      </c>
      <c r="E25" s="14">
        <v>10000</v>
      </c>
      <c r="F25" s="14">
        <f>E25/Formula!B3</f>
        <v>106.60980810234543</v>
      </c>
      <c r="G25" s="14">
        <f>F25*Formula!B2</f>
        <v>17004.264392324094</v>
      </c>
    </row>
    <row r="26" spans="1:7">
      <c r="A26" s="82" t="s">
        <v>389</v>
      </c>
      <c r="B26" s="82" t="s">
        <v>389</v>
      </c>
      <c r="C26" s="82" t="s">
        <v>389</v>
      </c>
      <c r="D26" s="13" t="s">
        <v>206</v>
      </c>
      <c r="E26" s="14">
        <v>500000</v>
      </c>
      <c r="F26" s="14">
        <f>E26/Formula!B3</f>
        <v>5330.4904051172707</v>
      </c>
      <c r="G26" s="14">
        <f>F26*Formula!B2</f>
        <v>850213.21961620473</v>
      </c>
    </row>
    <row r="27" spans="1:7">
      <c r="A27" s="76" t="s">
        <v>83</v>
      </c>
      <c r="B27" s="77" t="s">
        <v>363</v>
      </c>
      <c r="C27" s="77" t="s">
        <v>362</v>
      </c>
      <c r="D27" s="13" t="s">
        <v>128</v>
      </c>
      <c r="E27" s="14">
        <v>0</v>
      </c>
      <c r="F27" s="14">
        <f>E27/Formula!B3</f>
        <v>0</v>
      </c>
      <c r="G27" s="14">
        <f>F27*Formula!B2</f>
        <v>0</v>
      </c>
    </row>
    <row r="28" spans="1:7">
      <c r="A28" s="82" t="s">
        <v>389</v>
      </c>
      <c r="B28" s="82" t="s">
        <v>389</v>
      </c>
      <c r="C28" s="82" t="s">
        <v>389</v>
      </c>
      <c r="D28" s="13" t="s">
        <v>132</v>
      </c>
      <c r="E28" s="14">
        <v>755193</v>
      </c>
      <c r="F28" s="14">
        <f>E28/Formula!B3</f>
        <v>8051.0980810234541</v>
      </c>
      <c r="G28" s="14">
        <f>F28*Formula!B2</f>
        <v>1284150.1439232409</v>
      </c>
    </row>
    <row r="29" spans="1:7">
      <c r="A29" s="82" t="s">
        <v>389</v>
      </c>
      <c r="B29" s="82" t="s">
        <v>389</v>
      </c>
      <c r="C29" s="82" t="s">
        <v>389</v>
      </c>
      <c r="D29" s="13" t="s">
        <v>129</v>
      </c>
      <c r="E29" s="14">
        <v>152000</v>
      </c>
      <c r="F29" s="14">
        <f>E29/Formula!B3</f>
        <v>1620.4690831556504</v>
      </c>
      <c r="G29" s="14">
        <f>F29*Formula!B2</f>
        <v>258464.81876332624</v>
      </c>
    </row>
    <row r="30" spans="1:7">
      <c r="A30" s="82" t="s">
        <v>389</v>
      </c>
      <c r="B30" s="82" t="s">
        <v>389</v>
      </c>
      <c r="C30" s="82" t="s">
        <v>389</v>
      </c>
      <c r="D30" s="13" t="s">
        <v>137</v>
      </c>
      <c r="E30" s="14">
        <v>0</v>
      </c>
      <c r="F30" s="14">
        <f>E30/Formula!B3</f>
        <v>0</v>
      </c>
      <c r="G30" s="14">
        <f>F30*Formula!B2</f>
        <v>0</v>
      </c>
    </row>
    <row r="31" spans="1:7">
      <c r="A31" s="82" t="s">
        <v>389</v>
      </c>
      <c r="B31" s="82" t="s">
        <v>389</v>
      </c>
      <c r="C31" s="82" t="s">
        <v>389</v>
      </c>
      <c r="D31" s="13" t="s">
        <v>136</v>
      </c>
      <c r="E31" s="14">
        <v>0</v>
      </c>
      <c r="F31" s="14">
        <f>E31/Formula!B3</f>
        <v>0</v>
      </c>
      <c r="G31" s="14">
        <f>F31*Formula!B2</f>
        <v>0</v>
      </c>
    </row>
    <row r="32" spans="1:7">
      <c r="A32" s="76" t="s">
        <v>83</v>
      </c>
      <c r="B32" s="77" t="s">
        <v>363</v>
      </c>
      <c r="C32" s="77" t="s">
        <v>138</v>
      </c>
      <c r="D32" s="13" t="s">
        <v>128</v>
      </c>
      <c r="E32" s="14">
        <v>160000</v>
      </c>
      <c r="F32" s="14">
        <f>E32/Formula!B3</f>
        <v>1705.7569296375268</v>
      </c>
      <c r="G32" s="14">
        <f>F32*Formula!B2</f>
        <v>272068.2302771855</v>
      </c>
    </row>
    <row r="33" spans="1:7">
      <c r="A33" s="82" t="s">
        <v>389</v>
      </c>
      <c r="B33" s="82" t="s">
        <v>389</v>
      </c>
      <c r="C33" s="77" t="s">
        <v>139</v>
      </c>
      <c r="D33" s="13" t="s">
        <v>130</v>
      </c>
      <c r="E33" s="14">
        <v>0</v>
      </c>
      <c r="F33" s="14">
        <f>E33/Formula!B3</f>
        <v>0</v>
      </c>
      <c r="G33" s="14">
        <f>F33*Formula!B2</f>
        <v>0</v>
      </c>
    </row>
    <row r="34" spans="1:7">
      <c r="A34" s="76" t="s">
        <v>83</v>
      </c>
      <c r="B34" s="77" t="s">
        <v>369</v>
      </c>
      <c r="C34" s="77" t="s">
        <v>79</v>
      </c>
      <c r="D34" s="13" t="s">
        <v>367</v>
      </c>
      <c r="E34" s="14">
        <v>1057500</v>
      </c>
      <c r="F34" s="14">
        <f>E34/Formula!B3</f>
        <v>11273.987206823029</v>
      </c>
      <c r="G34" s="14">
        <f>E34*Formula!B4</f>
        <v>1797750</v>
      </c>
    </row>
    <row r="35" spans="1:7">
      <c r="A35" s="82" t="s">
        <v>389</v>
      </c>
      <c r="B35" s="82" t="s">
        <v>389</v>
      </c>
      <c r="C35" s="82" t="s">
        <v>389</v>
      </c>
      <c r="D35" s="13" t="s">
        <v>201</v>
      </c>
      <c r="E35" s="14">
        <v>332000</v>
      </c>
      <c r="F35" s="14">
        <f>E35/Formula!B3</f>
        <v>3539.445628997868</v>
      </c>
      <c r="G35" s="14">
        <f>E35*Formula!B4</f>
        <v>564400</v>
      </c>
    </row>
    <row r="36" spans="1:7">
      <c r="A36" s="82" t="s">
        <v>389</v>
      </c>
      <c r="B36" s="82" t="s">
        <v>389</v>
      </c>
      <c r="C36" s="82" t="s">
        <v>389</v>
      </c>
      <c r="D36" s="13" t="s">
        <v>202</v>
      </c>
      <c r="E36" s="14">
        <v>898000</v>
      </c>
      <c r="F36" s="14">
        <f>E36/Formula!B3</f>
        <v>9573.5607675906194</v>
      </c>
      <c r="G36" s="14">
        <f>E36*Formula!B4</f>
        <v>1526600</v>
      </c>
    </row>
    <row r="37" spans="1:7">
      <c r="A37" s="82" t="s">
        <v>389</v>
      </c>
      <c r="B37" s="82" t="s">
        <v>389</v>
      </c>
      <c r="C37" s="82" t="s">
        <v>389</v>
      </c>
      <c r="D37" s="13" t="s">
        <v>203</v>
      </c>
      <c r="E37" s="14">
        <v>1200000</v>
      </c>
      <c r="F37" s="14">
        <f>E37/Formula!B3</f>
        <v>12793.17697228145</v>
      </c>
      <c r="G37" s="14">
        <f>E37*Formula!B4</f>
        <v>2040000</v>
      </c>
    </row>
    <row r="38" spans="1:7">
      <c r="A38" s="76" t="s">
        <v>83</v>
      </c>
      <c r="B38" s="77" t="s">
        <v>216</v>
      </c>
      <c r="C38" s="77" t="s">
        <v>79</v>
      </c>
      <c r="D38" s="13" t="s">
        <v>219</v>
      </c>
      <c r="E38" s="47">
        <v>79045</v>
      </c>
      <c r="F38" s="14">
        <f>E38/Formula!B3</f>
        <v>842.69722814498937</v>
      </c>
      <c r="G38" s="47">
        <f>E38*Formula!B4</f>
        <v>134376.5</v>
      </c>
    </row>
    <row r="39" spans="1:7">
      <c r="A39" s="82" t="s">
        <v>389</v>
      </c>
      <c r="B39" s="82" t="s">
        <v>389</v>
      </c>
      <c r="C39" s="82" t="s">
        <v>389</v>
      </c>
      <c r="D39" s="13" t="s">
        <v>220</v>
      </c>
      <c r="E39" s="47">
        <v>243475</v>
      </c>
      <c r="F39" s="14">
        <f>E39/Formula!B3</f>
        <v>2595.6823027718551</v>
      </c>
      <c r="G39" s="47">
        <f>E39*Formula!B4</f>
        <v>413907.5</v>
      </c>
    </row>
    <row r="40" spans="1:7">
      <c r="A40" s="82" t="s">
        <v>389</v>
      </c>
      <c r="B40" s="82" t="s">
        <v>389</v>
      </c>
      <c r="C40" s="82" t="s">
        <v>389</v>
      </c>
      <c r="D40" s="13" t="s">
        <v>221</v>
      </c>
      <c r="E40" s="47">
        <v>68360</v>
      </c>
      <c r="F40" s="14">
        <f>E40/Formula!B3</f>
        <v>728.78464818763325</v>
      </c>
      <c r="G40" s="47">
        <f>E40*Formula!B4</f>
        <v>116212</v>
      </c>
    </row>
    <row r="41" spans="1:7">
      <c r="A41" s="76" t="s">
        <v>83</v>
      </c>
      <c r="B41" s="77" t="s">
        <v>377</v>
      </c>
      <c r="C41" s="77" t="s">
        <v>362</v>
      </c>
      <c r="D41" s="13" t="s">
        <v>216</v>
      </c>
      <c r="E41" s="47">
        <v>85433</v>
      </c>
      <c r="F41" s="14">
        <f>E41/Formula!B3</f>
        <v>910.79957356076761</v>
      </c>
      <c r="G41" s="47">
        <f>E41*Formula!B4</f>
        <v>145236.1</v>
      </c>
    </row>
    <row r="42" spans="1:7">
      <c r="A42" s="82" t="s">
        <v>389</v>
      </c>
      <c r="B42" s="82" t="s">
        <v>389</v>
      </c>
      <c r="C42" s="82" t="s">
        <v>389</v>
      </c>
      <c r="D42" s="13" t="s">
        <v>126</v>
      </c>
      <c r="E42" s="47">
        <v>9692378</v>
      </c>
      <c r="F42" s="14">
        <f>E42/Formula!B3</f>
        <v>103330.25586353945</v>
      </c>
      <c r="G42" s="47">
        <f>E42*Formula!B4</f>
        <v>16477042.6</v>
      </c>
    </row>
    <row r="43" spans="1:7">
      <c r="A43" s="76" t="s">
        <v>83</v>
      </c>
      <c r="B43" s="77" t="s">
        <v>370</v>
      </c>
      <c r="C43" s="77" t="s">
        <v>79</v>
      </c>
      <c r="D43" s="13" t="s">
        <v>213</v>
      </c>
      <c r="E43" s="47">
        <f>10.5*14280</f>
        <v>149940</v>
      </c>
      <c r="F43" s="14">
        <f>E43/Formula!B3</f>
        <v>1598.5074626865671</v>
      </c>
      <c r="G43" s="47">
        <f>E43*Formula!B4</f>
        <v>254898</v>
      </c>
    </row>
    <row r="44" spans="1:7">
      <c r="A44" s="82" t="s">
        <v>389</v>
      </c>
      <c r="B44" s="82" t="s">
        <v>389</v>
      </c>
      <c r="C44" s="82" t="s">
        <v>389</v>
      </c>
      <c r="D44" s="13" t="s">
        <v>212</v>
      </c>
      <c r="E44" s="47">
        <f>14.83*14280</f>
        <v>211772.4</v>
      </c>
      <c r="F44" s="14">
        <f>E44/Formula!B3</f>
        <v>2257.7014925373132</v>
      </c>
      <c r="G44" s="47">
        <f>E44*Formula!B4</f>
        <v>360013.07999999996</v>
      </c>
    </row>
    <row r="45" spans="1:7" ht="28.8">
      <c r="A45" s="76" t="s">
        <v>82</v>
      </c>
      <c r="B45" s="78" t="s">
        <v>349</v>
      </c>
      <c r="C45" s="77" t="s">
        <v>79</v>
      </c>
      <c r="D45" s="13" t="s">
        <v>111</v>
      </c>
      <c r="E45" s="14">
        <f>G45/Formula!B4</f>
        <v>7518429.4117647065</v>
      </c>
      <c r="F45" s="14">
        <f>G45/Formula!B2</f>
        <v>80133.730407523515</v>
      </c>
      <c r="G45" s="14">
        <v>12781330</v>
      </c>
    </row>
    <row r="46" spans="1:7">
      <c r="A46" s="82" t="s">
        <v>389</v>
      </c>
      <c r="B46" s="82" t="s">
        <v>389</v>
      </c>
      <c r="C46" s="82" t="s">
        <v>389</v>
      </c>
      <c r="D46" s="13" t="s">
        <v>112</v>
      </c>
      <c r="E46" s="14">
        <f>G46/Formula!B4</f>
        <v>2000441.1764705882</v>
      </c>
      <c r="F46" s="14">
        <f>G46/Formula!B2</f>
        <v>21321.316614420062</v>
      </c>
      <c r="G46" s="14">
        <v>3400750</v>
      </c>
    </row>
    <row r="47" spans="1:7">
      <c r="A47" s="82" t="s">
        <v>389</v>
      </c>
      <c r="B47" s="82" t="s">
        <v>389</v>
      </c>
      <c r="C47" s="82" t="s">
        <v>389</v>
      </c>
      <c r="D47" s="13" t="s">
        <v>113</v>
      </c>
      <c r="E47" s="14">
        <f>G47/Formula!B4</f>
        <v>1736717.6470588236</v>
      </c>
      <c r="F47" s="14">
        <f>G47/Formula!B2</f>
        <v>18510.470219435738</v>
      </c>
      <c r="G47" s="14">
        <v>2952420</v>
      </c>
    </row>
    <row r="48" spans="1:7">
      <c r="A48" s="82" t="s">
        <v>389</v>
      </c>
      <c r="B48" s="82" t="s">
        <v>389</v>
      </c>
      <c r="C48" s="82" t="s">
        <v>389</v>
      </c>
      <c r="D48" s="13" t="s">
        <v>101</v>
      </c>
      <c r="E48" s="14">
        <f>G48/Formula!B4</f>
        <v>1259277.6470588236</v>
      </c>
      <c r="F48" s="14">
        <f>G48/Formula!B2</f>
        <v>13421.768025078371</v>
      </c>
      <c r="G48" s="14">
        <v>2140772</v>
      </c>
    </row>
    <row r="49" spans="1:7">
      <c r="A49" s="82" t="s">
        <v>389</v>
      </c>
      <c r="B49" s="82" t="s">
        <v>389</v>
      </c>
      <c r="C49" s="82" t="s">
        <v>389</v>
      </c>
      <c r="D49" s="13" t="s">
        <v>114</v>
      </c>
      <c r="E49" s="14">
        <f>G49/Formula!B4</f>
        <v>1349653.5294117648</v>
      </c>
      <c r="F49" s="14">
        <f>G49/Formula!B2</f>
        <v>14385.021943573667</v>
      </c>
      <c r="G49" s="14">
        <v>2294411</v>
      </c>
    </row>
    <row r="50" spans="1:7" ht="28.8">
      <c r="A50" s="76" t="s">
        <v>82</v>
      </c>
      <c r="B50" s="78" t="s">
        <v>350</v>
      </c>
      <c r="C50" s="77" t="s">
        <v>79</v>
      </c>
      <c r="D50" s="13" t="s">
        <v>111</v>
      </c>
      <c r="E50" s="14">
        <f>G50/Formula!B4</f>
        <v>6705882.3529411769</v>
      </c>
      <c r="F50" s="14">
        <f>G50/Formula!B2</f>
        <v>71473.354231974925</v>
      </c>
      <c r="G50" s="14">
        <f>'Global Assets -old'!F23</f>
        <v>11400000</v>
      </c>
    </row>
    <row r="51" spans="1:7">
      <c r="A51" s="82" t="s">
        <v>389</v>
      </c>
      <c r="B51" s="82" t="s">
        <v>389</v>
      </c>
      <c r="C51" s="82" t="s">
        <v>389</v>
      </c>
      <c r="D51" s="13" t="s">
        <v>112</v>
      </c>
      <c r="E51" s="14">
        <f>G51/Formula!B4</f>
        <v>2647058.823529412</v>
      </c>
      <c r="F51" s="14">
        <f>G51/Formula!B2</f>
        <v>28213.166144200626</v>
      </c>
      <c r="G51" s="14">
        <f>'Global Assets -old'!F24</f>
        <v>4500000</v>
      </c>
    </row>
    <row r="52" spans="1:7">
      <c r="A52" s="82" t="s">
        <v>389</v>
      </c>
      <c r="B52" s="82" t="s">
        <v>389</v>
      </c>
      <c r="C52" s="82" t="s">
        <v>389</v>
      </c>
      <c r="D52" s="13" t="s">
        <v>113</v>
      </c>
      <c r="E52" s="14">
        <f>G52/Formula!B4</f>
        <v>2382352.9411764708</v>
      </c>
      <c r="F52" s="14">
        <f>G52/Formula!B2</f>
        <v>25391.849529780564</v>
      </c>
      <c r="G52" s="14">
        <f>'Global Assets -old'!F25</f>
        <v>4050000</v>
      </c>
    </row>
    <row r="53" spans="1:7">
      <c r="A53" s="82" t="s">
        <v>389</v>
      </c>
      <c r="B53" s="82" t="s">
        <v>389</v>
      </c>
      <c r="C53" s="82" t="s">
        <v>389</v>
      </c>
      <c r="D53" s="13" t="s">
        <v>101</v>
      </c>
      <c r="E53" s="14">
        <f>G53/Formula!B4</f>
        <v>1941176.4705882354</v>
      </c>
      <c r="F53" s="14">
        <f>G53/Formula!B2</f>
        <v>20689.655172413793</v>
      </c>
      <c r="G53" s="14">
        <f>'Global Assets -old'!F26</f>
        <v>3300000</v>
      </c>
    </row>
    <row r="54" spans="1:7">
      <c r="A54" s="82" t="s">
        <v>389</v>
      </c>
      <c r="B54" s="82" t="s">
        <v>389</v>
      </c>
      <c r="C54" s="82" t="s">
        <v>389</v>
      </c>
      <c r="D54" s="13" t="s">
        <v>114</v>
      </c>
      <c r="E54" s="14">
        <f>G54/Formula!B4</f>
        <v>2382352.9411764708</v>
      </c>
      <c r="F54" s="14">
        <f>G54/Formula!B2</f>
        <v>25391.849529780564</v>
      </c>
      <c r="G54" s="14">
        <f>'Global Assets -old'!F27</f>
        <v>4050000</v>
      </c>
    </row>
    <row r="55" spans="1:7">
      <c r="A55" s="76" t="s">
        <v>82</v>
      </c>
      <c r="B55" s="77" t="s">
        <v>363</v>
      </c>
      <c r="C55" s="77" t="s">
        <v>79</v>
      </c>
      <c r="D55" s="13" t="s">
        <v>182</v>
      </c>
      <c r="E55" s="14">
        <f>G55/Formula!B4</f>
        <v>1358707.6470588236</v>
      </c>
      <c r="F55" s="14">
        <f>G55/Formula!B2</f>
        <v>14481.523510971787</v>
      </c>
      <c r="G55" s="47">
        <v>2309803</v>
      </c>
    </row>
    <row r="56" spans="1:7">
      <c r="A56" s="82" t="s">
        <v>389</v>
      </c>
      <c r="B56" s="82" t="s">
        <v>389</v>
      </c>
      <c r="C56" s="82" t="s">
        <v>389</v>
      </c>
      <c r="D56" s="13" t="s">
        <v>136</v>
      </c>
      <c r="E56" s="14">
        <f>G56/Formula!B4</f>
        <v>411601.17647058825</v>
      </c>
      <c r="F56" s="14">
        <f>G56/Formula!B2</f>
        <v>4386.9717868338557</v>
      </c>
      <c r="G56" s="47">
        <v>699722</v>
      </c>
    </row>
    <row r="57" spans="1:7">
      <c r="A57" s="82" t="s">
        <v>389</v>
      </c>
      <c r="B57" s="82" t="s">
        <v>389</v>
      </c>
      <c r="C57" s="82" t="s">
        <v>389</v>
      </c>
      <c r="D57" s="13" t="s">
        <v>183</v>
      </c>
      <c r="E57" s="14">
        <f>G57/Formula!B4</f>
        <v>117828.23529411765</v>
      </c>
      <c r="F57" s="14">
        <f>G57/Formula!B2</f>
        <v>1255.8495297805644</v>
      </c>
      <c r="G57" s="47">
        <v>200308</v>
      </c>
    </row>
    <row r="58" spans="1:7">
      <c r="A58" s="82" t="s">
        <v>389</v>
      </c>
      <c r="B58" s="82" t="s">
        <v>389</v>
      </c>
      <c r="C58" s="82" t="s">
        <v>389</v>
      </c>
      <c r="D58" s="13" t="s">
        <v>184</v>
      </c>
      <c r="E58" s="14">
        <f>G58/Formula!B4</f>
        <v>117755.88235294117</v>
      </c>
      <c r="F58" s="14">
        <f>G58/Formula!B2</f>
        <v>1255.0783699059562</v>
      </c>
      <c r="G58" s="47">
        <v>200185</v>
      </c>
    </row>
    <row r="59" spans="1:7">
      <c r="A59" s="82" t="s">
        <v>389</v>
      </c>
      <c r="B59" s="82" t="s">
        <v>389</v>
      </c>
      <c r="C59" s="82" t="s">
        <v>389</v>
      </c>
      <c r="D59" s="13" t="s">
        <v>185</v>
      </c>
      <c r="E59" s="14">
        <f>G59/Formula!B4</f>
        <v>118048.23529411765</v>
      </c>
      <c r="F59" s="14">
        <f>G59/Formula!B2</f>
        <v>1258.1943573667711</v>
      </c>
      <c r="G59" s="47">
        <v>200682</v>
      </c>
    </row>
    <row r="60" spans="1:7">
      <c r="A60" s="82" t="s">
        <v>389</v>
      </c>
      <c r="B60" s="82" t="s">
        <v>389</v>
      </c>
      <c r="C60" s="82" t="s">
        <v>389</v>
      </c>
      <c r="D60" s="13" t="s">
        <v>186</v>
      </c>
      <c r="E60" s="14">
        <f>G60/Formula!B4</f>
        <v>29681.176470588238</v>
      </c>
      <c r="F60" s="14">
        <f>G60/Formula!B2</f>
        <v>316.3510971786834</v>
      </c>
      <c r="G60" s="47">
        <v>50458</v>
      </c>
    </row>
    <row r="61" spans="1:7">
      <c r="A61" s="82" t="s">
        <v>389</v>
      </c>
      <c r="B61" s="82" t="s">
        <v>389</v>
      </c>
      <c r="C61" s="82" t="s">
        <v>389</v>
      </c>
      <c r="D61" s="13" t="s">
        <v>187</v>
      </c>
      <c r="E61" s="14">
        <f>G61/Formula!B4</f>
        <v>147161.76470588235</v>
      </c>
      <c r="F61" s="14">
        <f>G61/Formula!B2</f>
        <v>1568.4952978056426</v>
      </c>
      <c r="G61" s="47">
        <v>250175</v>
      </c>
    </row>
    <row r="62" spans="1:7">
      <c r="A62" s="82" t="s">
        <v>389</v>
      </c>
      <c r="B62" s="82" t="s">
        <v>389</v>
      </c>
      <c r="C62" s="82" t="s">
        <v>389</v>
      </c>
      <c r="D62" s="13" t="s">
        <v>91</v>
      </c>
      <c r="E62" s="14">
        <f>G62/Formula!B4</f>
        <v>117832.94117647059</v>
      </c>
      <c r="F62" s="14">
        <f>G62/Formula!B2</f>
        <v>1255.8996865203762</v>
      </c>
      <c r="G62" s="47">
        <v>200316</v>
      </c>
    </row>
    <row r="63" spans="1:7">
      <c r="A63" s="76" t="s">
        <v>82</v>
      </c>
      <c r="B63" s="77" t="s">
        <v>363</v>
      </c>
      <c r="C63" s="77" t="s">
        <v>80</v>
      </c>
      <c r="D63" s="13" t="s">
        <v>185</v>
      </c>
      <c r="E63" s="14">
        <f>G63/Formula!B4</f>
        <v>1149484.705882353</v>
      </c>
      <c r="F63" s="14">
        <f>G63/Formula!B2</f>
        <v>12251.561128526646</v>
      </c>
      <c r="G63" s="47">
        <v>1954124</v>
      </c>
    </row>
    <row r="64" spans="1:7">
      <c r="A64" s="82" t="s">
        <v>389</v>
      </c>
      <c r="B64" s="82" t="s">
        <v>389</v>
      </c>
      <c r="C64" s="82" t="s">
        <v>389</v>
      </c>
      <c r="D64" s="13" t="s">
        <v>184</v>
      </c>
      <c r="E64" s="14">
        <f>G64/Formula!B4</f>
        <v>238652.9411764706</v>
      </c>
      <c r="F64" s="14">
        <f>G64/Formula!B2</f>
        <v>2543.6363636363635</v>
      </c>
      <c r="G64" s="47">
        <v>405710</v>
      </c>
    </row>
    <row r="65" spans="1:7">
      <c r="A65" s="82" t="s">
        <v>389</v>
      </c>
      <c r="B65" s="82" t="s">
        <v>389</v>
      </c>
      <c r="C65" s="82" t="s">
        <v>389</v>
      </c>
      <c r="D65" s="13" t="s">
        <v>136</v>
      </c>
      <c r="E65" s="14">
        <f>G65/Formula!B4</f>
        <v>171121.76470588235</v>
      </c>
      <c r="F65" s="14">
        <f>G65/Formula!B2</f>
        <v>1823.8683385579936</v>
      </c>
      <c r="G65" s="47">
        <v>290907</v>
      </c>
    </row>
    <row r="66" spans="1:7">
      <c r="A66" s="82" t="s">
        <v>389</v>
      </c>
      <c r="B66" s="82" t="s">
        <v>389</v>
      </c>
      <c r="C66" s="82" t="s">
        <v>389</v>
      </c>
      <c r="D66" s="13" t="s">
        <v>182</v>
      </c>
      <c r="E66" s="14">
        <f>G66/Formula!B4</f>
        <v>264888.23529411765</v>
      </c>
      <c r="F66" s="14">
        <f>G66/Formula!B2</f>
        <v>2823.2601880877742</v>
      </c>
      <c r="G66" s="47">
        <v>450310</v>
      </c>
    </row>
    <row r="67" spans="1:7">
      <c r="A67" s="82" t="s">
        <v>389</v>
      </c>
      <c r="B67" s="82" t="s">
        <v>389</v>
      </c>
      <c r="C67" s="82" t="s">
        <v>389</v>
      </c>
      <c r="D67" s="13" t="s">
        <v>91</v>
      </c>
      <c r="E67" s="14">
        <f>G67/Formula!B4</f>
        <v>23529.411764705885</v>
      </c>
      <c r="F67" s="14">
        <f>G67/Formula!B2</f>
        <v>250.78369905956112</v>
      </c>
      <c r="G67" s="47">
        <v>40000</v>
      </c>
    </row>
    <row r="68" spans="1:7">
      <c r="A68" s="76" t="s">
        <v>82</v>
      </c>
      <c r="B68" s="77" t="s">
        <v>364</v>
      </c>
      <c r="C68" s="77" t="s">
        <v>80</v>
      </c>
      <c r="D68" s="13" t="s">
        <v>191</v>
      </c>
      <c r="E68" s="14">
        <f>G68/Formula!B4</f>
        <v>352941.17647058825</v>
      </c>
      <c r="F68" s="14">
        <f>G68/Formula!B2</f>
        <v>3761.7554858934168</v>
      </c>
      <c r="G68" s="47">
        <v>600000</v>
      </c>
    </row>
    <row r="69" spans="1:7">
      <c r="A69" s="82" t="s">
        <v>389</v>
      </c>
      <c r="B69" s="82" t="s">
        <v>389</v>
      </c>
      <c r="C69" s="82" t="s">
        <v>389</v>
      </c>
      <c r="D69" s="13" t="s">
        <v>192</v>
      </c>
      <c r="E69" s="14">
        <f>G69/Formula!B4</f>
        <v>205882.35294117648</v>
      </c>
      <c r="F69" s="14">
        <f>G69/Formula!B2</f>
        <v>2194.3573667711598</v>
      </c>
      <c r="G69" s="47">
        <v>350000</v>
      </c>
    </row>
    <row r="70" spans="1:7">
      <c r="A70" s="82" t="s">
        <v>389</v>
      </c>
      <c r="B70" s="82" t="s">
        <v>389</v>
      </c>
      <c r="C70" s="82" t="s">
        <v>389</v>
      </c>
      <c r="D70" s="13" t="s">
        <v>193</v>
      </c>
      <c r="E70" s="14">
        <f>G70/Formula!B4</f>
        <v>111764.70588235294</v>
      </c>
      <c r="F70" s="14">
        <f>G70/Formula!B2</f>
        <v>1191.2225705329154</v>
      </c>
      <c r="G70" s="47">
        <v>190000</v>
      </c>
    </row>
    <row r="71" spans="1:7">
      <c r="A71" s="82" t="s">
        <v>389</v>
      </c>
      <c r="B71" s="82" t="s">
        <v>389</v>
      </c>
      <c r="C71" s="82" t="s">
        <v>389</v>
      </c>
      <c r="D71" s="13" t="s">
        <v>194</v>
      </c>
      <c r="E71" s="14">
        <f>G71/Formula!B4</f>
        <v>152941.17647058825</v>
      </c>
      <c r="F71" s="14">
        <f>G71/Formula!B2</f>
        <v>1630.0940438871473</v>
      </c>
      <c r="G71" s="47">
        <v>260000</v>
      </c>
    </row>
    <row r="72" spans="1:7">
      <c r="A72" s="82" t="s">
        <v>389</v>
      </c>
      <c r="B72" s="82" t="s">
        <v>389</v>
      </c>
      <c r="C72" s="82" t="s">
        <v>389</v>
      </c>
      <c r="D72" s="13" t="s">
        <v>195</v>
      </c>
      <c r="E72" s="14">
        <f>G72/Formula!B4</f>
        <v>170588.23529411765</v>
      </c>
      <c r="F72" s="14">
        <f>G72/Formula!B2</f>
        <v>1818.1818181818182</v>
      </c>
      <c r="G72" s="47">
        <v>290000</v>
      </c>
    </row>
    <row r="73" spans="1:7">
      <c r="A73" s="82" t="s">
        <v>389</v>
      </c>
      <c r="B73" s="82" t="s">
        <v>389</v>
      </c>
      <c r="C73" s="82" t="s">
        <v>389</v>
      </c>
      <c r="D73" s="13" t="s">
        <v>196</v>
      </c>
      <c r="E73" s="14">
        <f>G73/Formula!B4</f>
        <v>58823.529411764706</v>
      </c>
      <c r="F73" s="14">
        <f>G73/Formula!B2</f>
        <v>626.95924764890287</v>
      </c>
      <c r="G73" s="47">
        <v>100000</v>
      </c>
    </row>
    <row r="74" spans="1:7">
      <c r="A74" s="82" t="s">
        <v>389</v>
      </c>
      <c r="B74" s="82" t="s">
        <v>389</v>
      </c>
      <c r="C74" s="82" t="s">
        <v>389</v>
      </c>
      <c r="D74" s="13" t="s">
        <v>365</v>
      </c>
      <c r="E74" s="14">
        <f>G74/Formula!B4</f>
        <v>205882.35294117648</v>
      </c>
      <c r="F74" s="14">
        <f>G74/Formula!B2</f>
        <v>2194.3573667711598</v>
      </c>
      <c r="G74" s="47">
        <v>350000</v>
      </c>
    </row>
    <row r="75" spans="1:7">
      <c r="A75" s="76" t="s">
        <v>82</v>
      </c>
      <c r="B75" s="77" t="s">
        <v>370</v>
      </c>
      <c r="C75" s="77" t="s">
        <v>80</v>
      </c>
      <c r="D75" s="13" t="s">
        <v>371</v>
      </c>
      <c r="E75" s="47">
        <f>G75*Formula!B4</f>
        <v>76500</v>
      </c>
      <c r="F75" s="14">
        <f>G75/Formula!B2</f>
        <v>282.13166144200625</v>
      </c>
      <c r="G75" s="47">
        <v>45000</v>
      </c>
    </row>
    <row r="76" spans="1:7">
      <c r="A76" s="82" t="s">
        <v>389</v>
      </c>
      <c r="B76" s="82" t="s">
        <v>389</v>
      </c>
      <c r="C76" s="77" t="s">
        <v>79</v>
      </c>
      <c r="D76" s="13" t="s">
        <v>371</v>
      </c>
      <c r="E76" s="83">
        <v>76500</v>
      </c>
      <c r="F76" s="14">
        <v>282</v>
      </c>
      <c r="G76" s="47">
        <v>45000</v>
      </c>
    </row>
    <row r="77" spans="1:7">
      <c r="A77" s="76" t="s">
        <v>82</v>
      </c>
      <c r="B77" s="77" t="s">
        <v>227</v>
      </c>
      <c r="C77" s="77" t="s">
        <v>79</v>
      </c>
      <c r="D77" s="13" t="s">
        <v>372</v>
      </c>
      <c r="E77" s="47">
        <f>G77*Formula!B4</f>
        <v>16466800.1</v>
      </c>
      <c r="F77" s="14">
        <f>G77/Formula!B2</f>
        <v>60729.485893416932</v>
      </c>
      <c r="G77" s="47">
        <v>9686353</v>
      </c>
    </row>
    <row r="78" spans="1:7">
      <c r="A78" s="82" t="s">
        <v>389</v>
      </c>
      <c r="B78" s="82" t="s">
        <v>389</v>
      </c>
      <c r="C78" s="77" t="s">
        <v>80</v>
      </c>
      <c r="D78" s="13" t="s">
        <v>373</v>
      </c>
      <c r="E78" s="47">
        <f>G78*Formula!B4</f>
        <v>6364563.7000000002</v>
      </c>
      <c r="F78" s="14">
        <f>G78/Formula!B2</f>
        <v>23472.482758620688</v>
      </c>
      <c r="G78" s="47">
        <v>3743861</v>
      </c>
    </row>
    <row r="79" spans="1:7">
      <c r="A79" s="76" t="s">
        <v>82</v>
      </c>
      <c r="B79" s="77" t="s">
        <v>374</v>
      </c>
      <c r="C79" s="77" t="s">
        <v>79</v>
      </c>
      <c r="D79" s="13" t="s">
        <v>372</v>
      </c>
      <c r="E79" s="47">
        <f>G79*Formula!B4</f>
        <v>4009178</v>
      </c>
      <c r="F79" s="14">
        <f>G79/Formula!B2</f>
        <v>14785.830721003134</v>
      </c>
      <c r="G79" s="47">
        <v>2358340</v>
      </c>
    </row>
    <row r="80" spans="1:7">
      <c r="A80" s="82" t="s">
        <v>389</v>
      </c>
      <c r="B80" s="82" t="s">
        <v>389</v>
      </c>
      <c r="C80" s="77" t="s">
        <v>80</v>
      </c>
      <c r="D80" s="13" t="s">
        <v>373</v>
      </c>
      <c r="E80" s="47">
        <f>G80*Formula!B4</f>
        <v>3146098.1999999997</v>
      </c>
      <c r="F80" s="14">
        <f>G80/Formula!B2</f>
        <v>11602.796238244515</v>
      </c>
      <c r="G80" s="47">
        <v>1850646</v>
      </c>
    </row>
    <row r="81" spans="1:7">
      <c r="A81" s="76" t="s">
        <v>82</v>
      </c>
      <c r="B81" s="77" t="s">
        <v>383</v>
      </c>
      <c r="C81" s="77" t="s">
        <v>79</v>
      </c>
      <c r="D81" s="13" t="s">
        <v>384</v>
      </c>
      <c r="E81" s="47">
        <f>F81*Formula!B3</f>
        <v>5543204.7999999998</v>
      </c>
      <c r="F81" s="14">
        <f>22760+36336</f>
        <v>59096</v>
      </c>
      <c r="G81" s="14">
        <f>F81*Formula!B2</f>
        <v>9425812</v>
      </c>
    </row>
    <row r="82" spans="1:7">
      <c r="A82" s="82" t="s">
        <v>389</v>
      </c>
      <c r="B82" s="82" t="s">
        <v>389</v>
      </c>
      <c r="C82" s="77" t="s">
        <v>80</v>
      </c>
      <c r="D82" s="13" t="s">
        <v>385</v>
      </c>
      <c r="E82" s="47">
        <f>F82*Formula!B3</f>
        <v>5040343</v>
      </c>
      <c r="F82" s="14">
        <f>23046+23046+7643</f>
        <v>53735</v>
      </c>
      <c r="G82" s="14">
        <f>F82*Formula!B2</f>
        <v>8570732.5</v>
      </c>
    </row>
    <row r="83" spans="1:7">
      <c r="A83" s="76" t="s">
        <v>390</v>
      </c>
      <c r="B83" s="77" t="s">
        <v>379</v>
      </c>
      <c r="C83" s="77" t="s">
        <v>79</v>
      </c>
      <c r="D83" s="13" t="s">
        <v>380</v>
      </c>
      <c r="E83" s="47">
        <f>F83*Formula!B3</f>
        <v>5558869.3999999994</v>
      </c>
      <c r="F83" s="14">
        <v>59263</v>
      </c>
      <c r="G83" s="14">
        <f>F83*Formula!B2</f>
        <v>9452448.5</v>
      </c>
    </row>
    <row r="84" spans="1:7">
      <c r="A84" s="82" t="s">
        <v>389</v>
      </c>
      <c r="B84" s="82" t="s">
        <v>389</v>
      </c>
      <c r="C84" s="82" t="s">
        <v>389</v>
      </c>
      <c r="D84" s="13" t="s">
        <v>381</v>
      </c>
      <c r="E84" s="47">
        <f>F84*Formula!B3</f>
        <v>864060.27399999998</v>
      </c>
      <c r="F84" s="14">
        <f>'Global Assets -old'!H194+'Global Assets -old'!H195+'Global Assets -old'!H197+'Global Assets -old'!H199+-'Global Assets -old'!H200+'Global Assets -old'!H202+'Global Assets -old'!H203+'Global Assets -old'!H204+'Global Assets -old'!H205+'Global Assets -old'!H206+'Global Assets -old'!H208+'Global Assets -old'!H209</f>
        <v>9211.73</v>
      </c>
      <c r="G84" s="14">
        <f>F84*Formula!B2</f>
        <v>1469270.9349999998</v>
      </c>
    </row>
    <row r="85" spans="1:7">
      <c r="A85" s="82" t="s">
        <v>389</v>
      </c>
      <c r="B85" s="82" t="s">
        <v>389</v>
      </c>
      <c r="C85" s="82" t="s">
        <v>389</v>
      </c>
      <c r="D85" s="13" t="s">
        <v>382</v>
      </c>
      <c r="E85" s="47">
        <f>F85*Formula!B3</f>
        <v>594027.89599999995</v>
      </c>
      <c r="F85" s="14">
        <f>'Global Assets -old'!H196+'Global Assets -old'!H211+1008</f>
        <v>6332.92</v>
      </c>
      <c r="G85" s="14">
        <f>F85*Formula!B2</f>
        <v>1010100.74</v>
      </c>
    </row>
    <row r="86" spans="1:7">
      <c r="A86" s="76" t="s">
        <v>366</v>
      </c>
      <c r="B86" s="77" t="s">
        <v>368</v>
      </c>
      <c r="C86" s="77" t="s">
        <v>79</v>
      </c>
      <c r="D86" s="13" t="s">
        <v>208</v>
      </c>
      <c r="E86" s="14">
        <f>F86*Formula!B3</f>
        <v>187600</v>
      </c>
      <c r="F86" s="14">
        <v>2000</v>
      </c>
      <c r="G86" s="47">
        <f>F86*Formula!B2</f>
        <v>319000</v>
      </c>
    </row>
    <row r="87" spans="1:7">
      <c r="A87" s="82" t="s">
        <v>389</v>
      </c>
      <c r="B87" s="82" t="s">
        <v>389</v>
      </c>
      <c r="C87" s="82" t="s">
        <v>389</v>
      </c>
      <c r="D87" s="13" t="s">
        <v>209</v>
      </c>
      <c r="E87" s="14">
        <f>F87*Formula!B3</f>
        <v>46900</v>
      </c>
      <c r="F87" s="14">
        <v>500</v>
      </c>
      <c r="G87" s="47">
        <f>F87*Formula!B2</f>
        <v>79750</v>
      </c>
    </row>
    <row r="88" spans="1:7">
      <c r="A88" s="79" t="s">
        <v>378</v>
      </c>
      <c r="B88" s="79" t="s">
        <v>386</v>
      </c>
      <c r="C88" s="79" t="s">
        <v>387</v>
      </c>
      <c r="D88" s="79" t="s">
        <v>388</v>
      </c>
      <c r="E88" s="80">
        <f>SUM(E3:E87)</f>
        <v>183538970.15823528</v>
      </c>
      <c r="F88" s="80">
        <f>SUM(F3:F87)</f>
        <v>1746447.2673810753</v>
      </c>
      <c r="G88" s="80">
        <f>SUM(G3:G87)</f>
        <v>278535964.45286781</v>
      </c>
    </row>
    <row r="89" spans="1:7">
      <c r="D89" t="s">
        <v>140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3AEFC-C13F-4684-A1CF-523997FE0A52}">
  <dimension ref="A2:C4"/>
  <sheetViews>
    <sheetView workbookViewId="0">
      <selection sqref="A1:XFD6"/>
    </sheetView>
  </sheetViews>
  <sheetFormatPr defaultRowHeight="14.4"/>
  <sheetData>
    <row r="2" spans="1:3">
      <c r="A2" s="13" t="s">
        <v>118</v>
      </c>
      <c r="B2" s="13">
        <v>159.5</v>
      </c>
      <c r="C2" s="13" t="s">
        <v>86</v>
      </c>
    </row>
    <row r="3" spans="1:3">
      <c r="A3" s="13" t="s">
        <v>118</v>
      </c>
      <c r="B3" s="13">
        <v>93.8</v>
      </c>
      <c r="C3" s="13" t="s">
        <v>87</v>
      </c>
    </row>
    <row r="4" spans="1:3">
      <c r="A4" s="76" t="s">
        <v>119</v>
      </c>
      <c r="B4" s="13">
        <v>1.7</v>
      </c>
      <c r="C4" s="13"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06EDC-DC40-4CB5-9F30-47425FE66CAA}">
  <dimension ref="A1:R265"/>
  <sheetViews>
    <sheetView topLeftCell="A130" zoomScale="85" zoomScaleNormal="85" workbookViewId="0">
      <selection activeCell="E255" sqref="E255"/>
    </sheetView>
  </sheetViews>
  <sheetFormatPr defaultRowHeight="14.4"/>
  <cols>
    <col min="2" max="2" width="25" customWidth="1"/>
    <col min="3" max="3" width="25.21875" bestFit="1" customWidth="1"/>
    <col min="4" max="4" width="33" bestFit="1" customWidth="1"/>
    <col min="5" max="5" width="26.77734375" bestFit="1" customWidth="1"/>
    <col min="6" max="6" width="30.5546875" bestFit="1" customWidth="1"/>
    <col min="7" max="7" width="22.88671875" bestFit="1" customWidth="1"/>
    <col min="8" max="8" width="15.88671875" customWidth="1"/>
    <col min="9" max="9" width="17.77734375" customWidth="1"/>
    <col min="10" max="10" width="14.21875" customWidth="1"/>
    <col min="11" max="11" width="12.77734375" customWidth="1"/>
    <col min="12" max="12" width="13.77734375" customWidth="1"/>
    <col min="13" max="13" width="41.88671875" bestFit="1" customWidth="1"/>
    <col min="15" max="15" width="9.21875" bestFit="1" customWidth="1"/>
    <col min="16" max="16" width="9.88671875" bestFit="1" customWidth="1"/>
    <col min="17" max="17" width="9.77734375" bestFit="1" customWidth="1"/>
  </cols>
  <sheetData>
    <row r="1" spans="1:16" ht="29.4">
      <c r="A1" s="61" t="s">
        <v>321</v>
      </c>
    </row>
    <row r="2" spans="1:16" ht="23.4">
      <c r="B2" s="51" t="s">
        <v>103</v>
      </c>
      <c r="C2" s="12"/>
      <c r="D2" s="12"/>
      <c r="I2" t="s">
        <v>118</v>
      </c>
      <c r="J2">
        <v>159.5</v>
      </c>
      <c r="K2" t="s">
        <v>86</v>
      </c>
    </row>
    <row r="3" spans="1:16" ht="21">
      <c r="B3" s="52" t="s">
        <v>83</v>
      </c>
      <c r="C3" s="12"/>
      <c r="I3" t="s">
        <v>118</v>
      </c>
      <c r="J3">
        <v>93.8</v>
      </c>
      <c r="K3" t="s">
        <v>87</v>
      </c>
    </row>
    <row r="4" spans="1:16">
      <c r="B4" s="19" t="s">
        <v>115</v>
      </c>
      <c r="C4" s="19" t="s">
        <v>117</v>
      </c>
      <c r="D4" s="19" t="s">
        <v>87</v>
      </c>
      <c r="E4" s="19" t="s">
        <v>86</v>
      </c>
      <c r="F4" s="19" t="s">
        <v>89</v>
      </c>
      <c r="I4" s="12" t="s">
        <v>119</v>
      </c>
      <c r="J4">
        <v>1.7</v>
      </c>
      <c r="K4" t="s">
        <v>86</v>
      </c>
    </row>
    <row r="5" spans="1:16">
      <c r="B5" s="12"/>
      <c r="C5" s="13" t="s">
        <v>104</v>
      </c>
      <c r="D5" s="14">
        <v>10500000</v>
      </c>
      <c r="E5" s="14">
        <f>D5*J4</f>
        <v>17850000</v>
      </c>
      <c r="F5" s="14">
        <f>D5/J3</f>
        <v>111940.29850746269</v>
      </c>
    </row>
    <row r="6" spans="1:16">
      <c r="B6" s="12"/>
      <c r="C6" s="13" t="s">
        <v>105</v>
      </c>
      <c r="D6" s="14">
        <v>8500000</v>
      </c>
      <c r="E6" s="14">
        <f>D6*J4</f>
        <v>14450000</v>
      </c>
      <c r="F6" s="14">
        <f>D6/J3</f>
        <v>90618.336886993609</v>
      </c>
    </row>
    <row r="7" spans="1:16">
      <c r="B7" s="12"/>
      <c r="C7" s="13" t="s">
        <v>106</v>
      </c>
      <c r="D7" s="14">
        <v>7500000</v>
      </c>
      <c r="E7" s="14">
        <f>D7*J4</f>
        <v>12750000</v>
      </c>
      <c r="F7" s="14">
        <f>D7/J3</f>
        <v>79957.356076759068</v>
      </c>
    </row>
    <row r="8" spans="1:16">
      <c r="B8" s="12"/>
      <c r="C8" s="13" t="s">
        <v>107</v>
      </c>
      <c r="D8" s="14">
        <v>5500000</v>
      </c>
      <c r="E8" s="14">
        <f>D8*J4</f>
        <v>9350000</v>
      </c>
      <c r="F8" s="14">
        <f>D8/J3</f>
        <v>58635.394456289978</v>
      </c>
    </row>
    <row r="9" spans="1:16">
      <c r="B9" s="12"/>
      <c r="C9" s="13" t="s">
        <v>108</v>
      </c>
      <c r="D9" s="14">
        <v>4500000</v>
      </c>
      <c r="E9" s="14">
        <f>D9*J4</f>
        <v>7650000</v>
      </c>
      <c r="F9" s="14">
        <f>D9/J3</f>
        <v>47974.413646055436</v>
      </c>
    </row>
    <row r="10" spans="1:16">
      <c r="B10" s="12"/>
      <c r="C10" s="13" t="s">
        <v>109</v>
      </c>
      <c r="D10" s="14">
        <v>2000000</v>
      </c>
      <c r="E10" s="14">
        <f>D10*J4</f>
        <v>3400000</v>
      </c>
      <c r="F10" s="14">
        <f>D10/J3</f>
        <v>21321.961620469083</v>
      </c>
    </row>
    <row r="11" spans="1:16">
      <c r="B11" s="12"/>
      <c r="C11" s="19" t="s">
        <v>116</v>
      </c>
      <c r="D11" s="20">
        <f>SUM(D5:D10)</f>
        <v>38500000</v>
      </c>
      <c r="E11" s="20">
        <f>SUM(E5:E10)</f>
        <v>65450000</v>
      </c>
      <c r="F11" s="20">
        <f>SUM(F5:F10)</f>
        <v>410447.76119402994</v>
      </c>
    </row>
    <row r="12" spans="1:16">
      <c r="B12" s="12"/>
      <c r="C12" s="18"/>
      <c r="D12" s="75"/>
      <c r="E12" s="75"/>
      <c r="F12" s="75"/>
    </row>
    <row r="13" spans="1:16" ht="21">
      <c r="B13" s="52" t="s">
        <v>82</v>
      </c>
      <c r="D13" s="12"/>
      <c r="P13" s="7"/>
    </row>
    <row r="14" spans="1:16">
      <c r="B14" s="21" t="s">
        <v>110</v>
      </c>
      <c r="C14" s="19" t="s">
        <v>117</v>
      </c>
      <c r="D14" s="19" t="s">
        <v>86</v>
      </c>
      <c r="E14" s="19" t="s">
        <v>87</v>
      </c>
      <c r="F14" s="19" t="s">
        <v>89</v>
      </c>
      <c r="G14" s="21" t="s">
        <v>329</v>
      </c>
      <c r="P14" s="7"/>
    </row>
    <row r="15" spans="1:16">
      <c r="C15" s="13" t="s">
        <v>111</v>
      </c>
      <c r="D15" s="14">
        <v>12781330</v>
      </c>
      <c r="E15" s="14">
        <f>D15/J4</f>
        <v>7518429.4117647065</v>
      </c>
      <c r="F15" s="14">
        <f>D15/J2</f>
        <v>80133.730407523515</v>
      </c>
      <c r="G15" s="14">
        <v>38000000</v>
      </c>
      <c r="P15" s="7"/>
    </row>
    <row r="16" spans="1:16">
      <c r="C16" s="13" t="s">
        <v>112</v>
      </c>
      <c r="D16" s="14">
        <v>3400750</v>
      </c>
      <c r="E16" s="14">
        <f>D16/J4</f>
        <v>2000441.1764705882</v>
      </c>
      <c r="F16" s="14">
        <f>D16/J2</f>
        <v>21321.316614420062</v>
      </c>
      <c r="G16" s="14">
        <v>15000000</v>
      </c>
      <c r="P16" s="7"/>
    </row>
    <row r="17" spans="2:16">
      <c r="C17" s="13" t="s">
        <v>113</v>
      </c>
      <c r="D17" s="14">
        <v>2952420</v>
      </c>
      <c r="E17" s="14">
        <f>D17/J4</f>
        <v>1736717.6470588236</v>
      </c>
      <c r="F17" s="14">
        <f>D17/J2</f>
        <v>18510.470219435738</v>
      </c>
      <c r="G17" s="14">
        <v>13500000</v>
      </c>
      <c r="P17" s="7"/>
    </row>
    <row r="18" spans="2:16">
      <c r="C18" s="13" t="s">
        <v>101</v>
      </c>
      <c r="D18" s="14">
        <v>2140772</v>
      </c>
      <c r="E18" s="14">
        <f>D18/J4</f>
        <v>1259277.6470588236</v>
      </c>
      <c r="F18" s="14">
        <f>D18/J2</f>
        <v>13421.768025078371</v>
      </c>
      <c r="G18" s="14">
        <v>11000000</v>
      </c>
    </row>
    <row r="19" spans="2:16">
      <c r="C19" s="13" t="s">
        <v>114</v>
      </c>
      <c r="D19" s="14">
        <v>2294411</v>
      </c>
      <c r="E19" s="14">
        <f>D19/J4</f>
        <v>1349653.5294117648</v>
      </c>
      <c r="F19" s="14">
        <f>D19/J2</f>
        <v>14385.021943573667</v>
      </c>
      <c r="G19" s="14">
        <v>13500000</v>
      </c>
    </row>
    <row r="20" spans="2:16">
      <c r="C20" s="19" t="s">
        <v>116</v>
      </c>
      <c r="D20" s="20">
        <f>SUM(D14:D19)</f>
        <v>23569683</v>
      </c>
      <c r="E20" s="20">
        <f>SUM(E14:E19)</f>
        <v>13864519.411764707</v>
      </c>
      <c r="F20" s="20">
        <f>SUM(F14:F19)</f>
        <v>147772.30721003134</v>
      </c>
      <c r="G20" s="20">
        <f>SUM(G14:G19)</f>
        <v>91000000</v>
      </c>
      <c r="H20" s="7">
        <f>G20-D20</f>
        <v>67430317</v>
      </c>
    </row>
    <row r="22" spans="2:16" ht="43.2">
      <c r="B22" s="19" t="s">
        <v>115</v>
      </c>
      <c r="C22" s="19" t="s">
        <v>117</v>
      </c>
      <c r="D22" s="22" t="s">
        <v>121</v>
      </c>
      <c r="E22" s="22" t="s">
        <v>120</v>
      </c>
      <c r="F22" s="22" t="s">
        <v>122</v>
      </c>
      <c r="G22" s="19" t="s">
        <v>87</v>
      </c>
      <c r="H22" s="19" t="s">
        <v>89</v>
      </c>
    </row>
    <row r="23" spans="2:16">
      <c r="B23" s="12"/>
      <c r="C23" s="13" t="s">
        <v>111</v>
      </c>
      <c r="D23" s="14">
        <v>38000000</v>
      </c>
      <c r="E23" s="14">
        <f>D23*0.3 + D23</f>
        <v>49400000</v>
      </c>
      <c r="F23" s="14">
        <f>E23-D23</f>
        <v>11400000</v>
      </c>
      <c r="G23" s="14">
        <f>F23*J4</f>
        <v>19380000</v>
      </c>
      <c r="H23" s="14">
        <f>F23/J3</f>
        <v>121535.18123667377</v>
      </c>
      <c r="K23" t="s">
        <v>140</v>
      </c>
    </row>
    <row r="24" spans="2:16">
      <c r="B24" s="12"/>
      <c r="C24" s="13" t="s">
        <v>112</v>
      </c>
      <c r="D24" s="14">
        <v>15000000</v>
      </c>
      <c r="E24" s="14">
        <f>D24*0.3 + D24</f>
        <v>19500000</v>
      </c>
      <c r="F24" s="14">
        <f>E24-D24</f>
        <v>4500000</v>
      </c>
      <c r="G24" s="14">
        <f>F24*J4</f>
        <v>7650000</v>
      </c>
      <c r="H24" s="14">
        <f>F24/J3</f>
        <v>47974.413646055436</v>
      </c>
    </row>
    <row r="25" spans="2:16">
      <c r="B25" s="12"/>
      <c r="C25" s="13" t="s">
        <v>113</v>
      </c>
      <c r="D25" s="14">
        <v>13500000</v>
      </c>
      <c r="E25" s="14">
        <f>D25*0.3 + D25</f>
        <v>17550000</v>
      </c>
      <c r="F25" s="14">
        <f>E25-D25</f>
        <v>4050000</v>
      </c>
      <c r="G25" s="14">
        <f>F25*J4</f>
        <v>6885000</v>
      </c>
      <c r="H25" s="14">
        <f>F25/J3</f>
        <v>43176.972281449896</v>
      </c>
      <c r="L25" t="s">
        <v>140</v>
      </c>
    </row>
    <row r="26" spans="2:16">
      <c r="B26" s="12"/>
      <c r="C26" s="13" t="s">
        <v>101</v>
      </c>
      <c r="D26" s="14">
        <v>11000000</v>
      </c>
      <c r="E26" s="14">
        <f>D26*0.3 + D26</f>
        <v>14300000</v>
      </c>
      <c r="F26" s="14">
        <f>E26-D26</f>
        <v>3300000</v>
      </c>
      <c r="G26" s="14">
        <f>F26*J4</f>
        <v>5610000</v>
      </c>
      <c r="H26" s="14">
        <f>F26/J3</f>
        <v>35181.236673773987</v>
      </c>
    </row>
    <row r="27" spans="2:16">
      <c r="B27" s="12"/>
      <c r="C27" s="13" t="s">
        <v>114</v>
      </c>
      <c r="D27" s="14">
        <v>13500000</v>
      </c>
      <c r="E27" s="14">
        <f>D27*0.3 + D27</f>
        <v>17550000</v>
      </c>
      <c r="F27" s="14">
        <f>E27-D27</f>
        <v>4050000</v>
      </c>
      <c r="G27" s="14">
        <f>F27*J4</f>
        <v>6885000</v>
      </c>
      <c r="H27" s="14">
        <f>F27/J3</f>
        <v>43176.972281449896</v>
      </c>
    </row>
    <row r="28" spans="2:16">
      <c r="B28" s="12"/>
      <c r="C28" s="19" t="s">
        <v>116</v>
      </c>
      <c r="D28" s="20">
        <f>SUM(D23:D27)</f>
        <v>91000000</v>
      </c>
      <c r="E28" s="20">
        <f>SUM(E23:E27)</f>
        <v>118300000</v>
      </c>
      <c r="F28" s="20">
        <f>SUM(F23:F27)</f>
        <v>27300000</v>
      </c>
      <c r="G28" s="20">
        <f>SUM(G23:G27)</f>
        <v>46410000</v>
      </c>
      <c r="H28" s="20">
        <f>SUM(H23:H27)</f>
        <v>291044.77611940302</v>
      </c>
    </row>
    <row r="31" spans="2:16">
      <c r="B31" s="21" t="s">
        <v>123</v>
      </c>
    </row>
    <row r="32" spans="2:16">
      <c r="C32" s="19" t="s">
        <v>117</v>
      </c>
      <c r="D32" s="22" t="s">
        <v>124</v>
      </c>
      <c r="E32" s="19" t="s">
        <v>87</v>
      </c>
      <c r="F32" s="19" t="s">
        <v>89</v>
      </c>
    </row>
    <row r="33" spans="2:7">
      <c r="C33" s="13" t="s">
        <v>111</v>
      </c>
      <c r="D33" s="14">
        <f>F23+D15</f>
        <v>24181330</v>
      </c>
      <c r="E33" s="14">
        <f>D33/J4</f>
        <v>14224311.764705883</v>
      </c>
      <c r="F33" s="14">
        <f>E33/J3</f>
        <v>151645.11476232286</v>
      </c>
    </row>
    <row r="34" spans="2:7">
      <c r="C34" s="13" t="s">
        <v>112</v>
      </c>
      <c r="D34" s="14">
        <f>F24+D16</f>
        <v>7900750</v>
      </c>
      <c r="E34" s="14">
        <f>D34/J4</f>
        <v>4647500</v>
      </c>
      <c r="F34" s="14">
        <f>E34/J3</f>
        <v>49546.908315565037</v>
      </c>
    </row>
    <row r="35" spans="2:7">
      <c r="C35" s="13" t="s">
        <v>113</v>
      </c>
      <c r="D35" s="14">
        <f>F25+D17</f>
        <v>7002420</v>
      </c>
      <c r="E35" s="14">
        <f>D35/J4</f>
        <v>4119070.5882352944</v>
      </c>
      <c r="F35" s="14">
        <f>E35/J3</f>
        <v>43913.33249717798</v>
      </c>
    </row>
    <row r="36" spans="2:7">
      <c r="C36" s="13" t="s">
        <v>101</v>
      </c>
      <c r="D36" s="14">
        <f>F26+D18</f>
        <v>5440772</v>
      </c>
      <c r="E36" s="14">
        <f>D36/J4</f>
        <v>3200454.1176470588</v>
      </c>
      <c r="F36" s="14">
        <f>E36/J3</f>
        <v>34119.979932271417</v>
      </c>
    </row>
    <row r="37" spans="2:7">
      <c r="C37" s="13" t="s">
        <v>114</v>
      </c>
      <c r="D37" s="14">
        <f>F27+D19</f>
        <v>6344411</v>
      </c>
      <c r="E37" s="14">
        <f>D37/J4</f>
        <v>3732006.4705882352</v>
      </c>
      <c r="F37" s="14">
        <f>E37/J3</f>
        <v>39786.849366612318</v>
      </c>
    </row>
    <row r="38" spans="2:7">
      <c r="C38" s="19" t="s">
        <v>116</v>
      </c>
      <c r="D38" s="20">
        <f>SUM(D33:D37)</f>
        <v>50869683</v>
      </c>
      <c r="E38" s="20">
        <f>SUM(E33:E37)</f>
        <v>29923342.941176474</v>
      </c>
      <c r="F38" s="20">
        <f>SUM(F33:F37)</f>
        <v>319012.18487394962</v>
      </c>
    </row>
    <row r="42" spans="2:7" ht="23.4">
      <c r="B42" s="51" t="s">
        <v>125</v>
      </c>
      <c r="C42" s="12"/>
    </row>
    <row r="43" spans="2:7" ht="21">
      <c r="B43" s="52" t="s">
        <v>83</v>
      </c>
    </row>
    <row r="44" spans="2:7">
      <c r="B44" s="12"/>
      <c r="C44" s="19" t="s">
        <v>126</v>
      </c>
    </row>
    <row r="45" spans="2:7">
      <c r="B45" s="12"/>
      <c r="D45" s="15" t="s">
        <v>127</v>
      </c>
      <c r="E45" s="19" t="s">
        <v>89</v>
      </c>
      <c r="F45" s="19" t="s">
        <v>87</v>
      </c>
      <c r="G45" s="19" t="s">
        <v>86</v>
      </c>
    </row>
    <row r="46" spans="2:7">
      <c r="B46" s="12"/>
      <c r="D46" s="13" t="s">
        <v>128</v>
      </c>
      <c r="E46" s="14">
        <v>292018</v>
      </c>
      <c r="F46" s="14">
        <f>E46*J3</f>
        <v>27391288.399999999</v>
      </c>
      <c r="G46" s="14">
        <f>E46*J2</f>
        <v>46576871</v>
      </c>
    </row>
    <row r="47" spans="2:7">
      <c r="B47" s="12"/>
      <c r="D47" s="13" t="s">
        <v>128</v>
      </c>
      <c r="E47" s="14">
        <v>5070</v>
      </c>
      <c r="F47" s="14">
        <f>E47*J3</f>
        <v>475566</v>
      </c>
      <c r="G47" s="14">
        <f>E47*J2</f>
        <v>808665</v>
      </c>
    </row>
    <row r="48" spans="2:7">
      <c r="B48" s="12"/>
      <c r="D48" s="13" t="s">
        <v>81</v>
      </c>
      <c r="E48" s="14">
        <v>90991</v>
      </c>
      <c r="F48" s="14">
        <f>E48*J3</f>
        <v>8534955.7999999989</v>
      </c>
      <c r="G48" s="14">
        <f>E48*J2</f>
        <v>14513064.5</v>
      </c>
    </row>
    <row r="49" spans="2:8">
      <c r="B49" s="12"/>
      <c r="D49" s="13" t="s">
        <v>81</v>
      </c>
      <c r="E49" s="14">
        <v>2351</v>
      </c>
      <c r="F49" s="14">
        <f>E49*J3</f>
        <v>220523.8</v>
      </c>
      <c r="G49" s="14">
        <f>E49*J2</f>
        <v>374984.5</v>
      </c>
    </row>
    <row r="50" spans="2:8">
      <c r="B50" s="12"/>
      <c r="D50" s="13" t="s">
        <v>84</v>
      </c>
      <c r="E50" s="14">
        <v>17000</v>
      </c>
      <c r="F50" s="14">
        <f>E50*J3</f>
        <v>1594600</v>
      </c>
      <c r="G50" s="14">
        <f>E50*J2</f>
        <v>2711500</v>
      </c>
    </row>
    <row r="51" spans="2:8">
      <c r="B51" s="12"/>
      <c r="D51" s="13" t="s">
        <v>129</v>
      </c>
      <c r="E51" s="14">
        <f>F51/J3</f>
        <v>4691.0021321961622</v>
      </c>
      <c r="F51" s="14">
        <v>440016</v>
      </c>
      <c r="G51" s="14">
        <f>E51*J2</f>
        <v>748214.84008528781</v>
      </c>
    </row>
    <row r="52" spans="2:8">
      <c r="B52" s="12"/>
      <c r="D52" s="13" t="s">
        <v>130</v>
      </c>
      <c r="E52" s="14">
        <f>F52/J3</f>
        <v>885</v>
      </c>
      <c r="F52" s="14">
        <v>83013</v>
      </c>
      <c r="G52" s="14">
        <f>E52*J2</f>
        <v>141157.5</v>
      </c>
    </row>
    <row r="53" spans="2:8">
      <c r="B53" s="12"/>
      <c r="D53" s="15" t="s">
        <v>188</v>
      </c>
      <c r="E53" s="20">
        <f>SUM(E46:E52)</f>
        <v>413006.00213219615</v>
      </c>
      <c r="F53" s="20">
        <f>SUM(F46:F52)</f>
        <v>38739962.999999993</v>
      </c>
      <c r="G53" s="20">
        <f>SUM(G46:G52)</f>
        <v>65874457.34008529</v>
      </c>
    </row>
    <row r="54" spans="2:8">
      <c r="B54" s="12"/>
      <c r="C54" s="12"/>
    </row>
    <row r="56" spans="2:8">
      <c r="B56" s="19" t="s">
        <v>131</v>
      </c>
    </row>
    <row r="57" spans="2:8" ht="28.8">
      <c r="C57" s="15" t="s">
        <v>127</v>
      </c>
      <c r="D57" s="19" t="s">
        <v>133</v>
      </c>
      <c r="E57" s="19" t="s">
        <v>134</v>
      </c>
      <c r="F57" s="22" t="s">
        <v>135</v>
      </c>
      <c r="G57" s="19" t="s">
        <v>86</v>
      </c>
      <c r="H57" s="19" t="s">
        <v>89</v>
      </c>
    </row>
    <row r="58" spans="2:8">
      <c r="B58" s="19" t="s">
        <v>79</v>
      </c>
      <c r="C58" s="13" t="s">
        <v>128</v>
      </c>
      <c r="D58" s="14">
        <v>10280</v>
      </c>
      <c r="E58" s="14">
        <v>510255</v>
      </c>
      <c r="F58" s="14">
        <f t="shared" ref="F58:F63" si="0">D58+E58</f>
        <v>520535</v>
      </c>
      <c r="G58" s="14">
        <f>F58*J4</f>
        <v>884909.5</v>
      </c>
      <c r="H58" s="14">
        <f>G58/J2</f>
        <v>5548.0219435736681</v>
      </c>
    </row>
    <row r="59" spans="2:8">
      <c r="C59" s="13" t="s">
        <v>81</v>
      </c>
      <c r="D59" s="14">
        <v>5004</v>
      </c>
      <c r="E59" s="14">
        <v>2141703</v>
      </c>
      <c r="F59" s="14">
        <f t="shared" si="0"/>
        <v>2146707</v>
      </c>
      <c r="G59" s="14">
        <f>F59*J4</f>
        <v>3649401.9</v>
      </c>
      <c r="H59" s="14">
        <f>G59/J2</f>
        <v>22880.262695924765</v>
      </c>
    </row>
    <row r="60" spans="2:8">
      <c r="C60" s="13" t="s">
        <v>132</v>
      </c>
      <c r="D60" s="14">
        <v>0</v>
      </c>
      <c r="E60" s="14">
        <v>3940478</v>
      </c>
      <c r="F60" s="14">
        <f t="shared" si="0"/>
        <v>3940478</v>
      </c>
      <c r="G60" s="14">
        <f>F60*J4</f>
        <v>6698812.5999999996</v>
      </c>
      <c r="H60" s="14">
        <f>G60/J2</f>
        <v>41998.825078369904</v>
      </c>
    </row>
    <row r="61" spans="2:8">
      <c r="C61" s="13" t="s">
        <v>129</v>
      </c>
      <c r="D61" s="14">
        <v>0</v>
      </c>
      <c r="E61" s="14">
        <v>30000</v>
      </c>
      <c r="F61" s="14">
        <f t="shared" si="0"/>
        <v>30000</v>
      </c>
      <c r="G61" s="14">
        <f>F61*J4</f>
        <v>51000</v>
      </c>
      <c r="H61" s="14">
        <f>G61/J2</f>
        <v>319.74921630094042</v>
      </c>
    </row>
    <row r="62" spans="2:8">
      <c r="C62" s="13" t="s">
        <v>84</v>
      </c>
      <c r="D62" s="14">
        <v>0</v>
      </c>
      <c r="E62" s="14">
        <v>15000</v>
      </c>
      <c r="F62" s="14">
        <f t="shared" si="0"/>
        <v>15000</v>
      </c>
      <c r="G62" s="14">
        <f>F62*J4</f>
        <v>25500</v>
      </c>
      <c r="H62" s="14">
        <f>G62/J2</f>
        <v>159.87460815047021</v>
      </c>
    </row>
    <row r="63" spans="2:8">
      <c r="C63" s="13" t="s">
        <v>130</v>
      </c>
      <c r="D63" s="14">
        <v>10000</v>
      </c>
      <c r="E63" s="14">
        <v>10000</v>
      </c>
      <c r="F63" s="14">
        <f t="shared" si="0"/>
        <v>20000</v>
      </c>
      <c r="G63" s="14">
        <f>F63*J4</f>
        <v>34000</v>
      </c>
      <c r="H63" s="14">
        <f>G63/J2</f>
        <v>213.16614420062695</v>
      </c>
    </row>
    <row r="64" spans="2:8">
      <c r="C64" s="15" t="s">
        <v>188</v>
      </c>
      <c r="D64" s="20">
        <f>SUM(D58:D63)</f>
        <v>25284</v>
      </c>
      <c r="E64" s="20">
        <f>SUM(E58:E63)</f>
        <v>6647436</v>
      </c>
      <c r="F64" s="20">
        <f>SUM(F58:F63)</f>
        <v>6672720</v>
      </c>
      <c r="G64" s="20">
        <f>SUM(G58:G63)</f>
        <v>11343624</v>
      </c>
      <c r="H64" s="20">
        <f>SUM(H58:H63)</f>
        <v>71119.899686520381</v>
      </c>
    </row>
    <row r="65" spans="2:6">
      <c r="D65" s="23" t="s">
        <v>87</v>
      </c>
      <c r="E65" s="49" t="s">
        <v>86</v>
      </c>
      <c r="F65" s="49" t="s">
        <v>89</v>
      </c>
    </row>
    <row r="66" spans="2:6">
      <c r="B66" s="19" t="s">
        <v>99</v>
      </c>
      <c r="C66" s="13" t="s">
        <v>128</v>
      </c>
      <c r="D66" s="14">
        <v>0</v>
      </c>
      <c r="E66" s="14">
        <f>D66*J4</f>
        <v>0</v>
      </c>
      <c r="F66" s="14">
        <f>E66/J2</f>
        <v>0</v>
      </c>
    </row>
    <row r="67" spans="2:6">
      <c r="C67" s="13" t="s">
        <v>132</v>
      </c>
      <c r="D67" s="14">
        <v>755193</v>
      </c>
      <c r="E67" s="14">
        <f>D67*J4</f>
        <v>1283828.0999999999</v>
      </c>
      <c r="F67" s="14">
        <f>E67/J2</f>
        <v>8049.0789968652025</v>
      </c>
    </row>
    <row r="68" spans="2:6">
      <c r="C68" s="13" t="s">
        <v>129</v>
      </c>
      <c r="D68" s="14">
        <v>152000</v>
      </c>
      <c r="E68" s="14">
        <f>D68*J4</f>
        <v>258400</v>
      </c>
      <c r="F68" s="14">
        <f>E68/J2</f>
        <v>1620.062695924765</v>
      </c>
    </row>
    <row r="69" spans="2:6">
      <c r="C69" s="13" t="s">
        <v>137</v>
      </c>
      <c r="D69" s="14">
        <v>0</v>
      </c>
      <c r="E69" s="14">
        <f>D69*J4</f>
        <v>0</v>
      </c>
      <c r="F69" s="14">
        <f>E69/J2</f>
        <v>0</v>
      </c>
    </row>
    <row r="70" spans="2:6">
      <c r="C70" s="13" t="s">
        <v>136</v>
      </c>
      <c r="D70" s="14">
        <v>0</v>
      </c>
      <c r="E70" s="14">
        <f>D70*J4</f>
        <v>0</v>
      </c>
      <c r="F70" s="14">
        <f>E70/J2</f>
        <v>0</v>
      </c>
    </row>
    <row r="71" spans="2:6">
      <c r="C71" s="15" t="s">
        <v>188</v>
      </c>
      <c r="D71" s="20">
        <f>SUM(D66:D70)</f>
        <v>907193</v>
      </c>
      <c r="E71" s="20">
        <f>SUM(E66:E70)</f>
        <v>1542228.0999999999</v>
      </c>
      <c r="F71" s="20">
        <f>SUM(F66:F70)</f>
        <v>9669.1416927899681</v>
      </c>
    </row>
    <row r="73" spans="2:6">
      <c r="D73" s="23" t="s">
        <v>87</v>
      </c>
      <c r="E73" s="19" t="s">
        <v>86</v>
      </c>
      <c r="F73" s="19" t="s">
        <v>89</v>
      </c>
    </row>
    <row r="74" spans="2:6">
      <c r="B74" s="19" t="s">
        <v>138</v>
      </c>
      <c r="C74" s="13" t="s">
        <v>132</v>
      </c>
      <c r="D74" s="14">
        <v>160000</v>
      </c>
      <c r="E74" s="14">
        <f>D74*J4</f>
        <v>272000</v>
      </c>
      <c r="F74" s="14">
        <f>D74/J3</f>
        <v>1705.7569296375268</v>
      </c>
    </row>
    <row r="75" spans="2:6">
      <c r="C75" s="15" t="s">
        <v>188</v>
      </c>
      <c r="D75" s="20">
        <f>D74</f>
        <v>160000</v>
      </c>
      <c r="E75" s="20">
        <f>E74</f>
        <v>272000</v>
      </c>
      <c r="F75" s="20">
        <f>F74</f>
        <v>1705.7569296375268</v>
      </c>
    </row>
    <row r="77" spans="2:6">
      <c r="D77" s="23" t="s">
        <v>87</v>
      </c>
      <c r="E77" s="19" t="s">
        <v>86</v>
      </c>
      <c r="F77" s="19" t="s">
        <v>89</v>
      </c>
    </row>
    <row r="78" spans="2:6">
      <c r="B78" s="19" t="s">
        <v>139</v>
      </c>
      <c r="C78" s="13" t="s">
        <v>130</v>
      </c>
      <c r="D78" s="14">
        <v>0</v>
      </c>
      <c r="E78" s="14">
        <f>D78*J4</f>
        <v>0</v>
      </c>
      <c r="F78" s="14">
        <f>D78/J3</f>
        <v>0</v>
      </c>
    </row>
    <row r="79" spans="2:6">
      <c r="C79" s="15" t="s">
        <v>188</v>
      </c>
      <c r="D79" s="20">
        <f>D78</f>
        <v>0</v>
      </c>
      <c r="E79" s="20">
        <f>E78</f>
        <v>0</v>
      </c>
      <c r="F79" s="20">
        <f>F78</f>
        <v>0</v>
      </c>
    </row>
    <row r="81" spans="2:8">
      <c r="B81" s="19" t="s">
        <v>141</v>
      </c>
      <c r="C81" s="7"/>
      <c r="D81" s="25" t="s">
        <v>87</v>
      </c>
      <c r="E81" s="24" t="s">
        <v>86</v>
      </c>
      <c r="F81" s="24" t="s">
        <v>89</v>
      </c>
    </row>
    <row r="82" spans="2:8">
      <c r="D82" s="26">
        <f>F53+F64+D71+D75+D79</f>
        <v>46479875.999999993</v>
      </c>
      <c r="E82" s="27">
        <f>G53+G64+E71+E75+E79</f>
        <v>79032309.440085292</v>
      </c>
      <c r="F82" s="26">
        <f>E53+H64+F71+F75+F79</f>
        <v>495500.80044114403</v>
      </c>
    </row>
    <row r="83" spans="2:8">
      <c r="F83" s="7"/>
      <c r="G83" s="50"/>
      <c r="H83" s="7"/>
    </row>
    <row r="84" spans="2:8">
      <c r="F84" s="7"/>
      <c r="G84" s="50"/>
      <c r="H84" s="7"/>
    </row>
    <row r="85" spans="2:8">
      <c r="F85" s="7"/>
      <c r="G85" s="50"/>
      <c r="H85" s="7"/>
    </row>
    <row r="86" spans="2:8">
      <c r="F86" s="7"/>
      <c r="G86" s="50"/>
      <c r="H86" s="7"/>
    </row>
    <row r="87" spans="2:8">
      <c r="F87" s="7"/>
      <c r="G87" s="50"/>
      <c r="H87" s="7"/>
    </row>
    <row r="89" spans="2:8" ht="21">
      <c r="B89" s="12"/>
      <c r="C89" s="52" t="s">
        <v>82</v>
      </c>
    </row>
    <row r="90" spans="2:8">
      <c r="B90" s="12"/>
      <c r="C90" s="12"/>
      <c r="D90" s="19" t="s">
        <v>147</v>
      </c>
    </row>
    <row r="91" spans="2:8">
      <c r="B91" s="12"/>
      <c r="C91" s="12"/>
      <c r="E91" s="15" t="s">
        <v>127</v>
      </c>
      <c r="F91" s="19" t="s">
        <v>86</v>
      </c>
      <c r="G91" s="19" t="s">
        <v>87</v>
      </c>
      <c r="H91" s="19" t="s">
        <v>89</v>
      </c>
    </row>
    <row r="92" spans="2:8">
      <c r="B92" s="12"/>
      <c r="C92" s="12"/>
      <c r="D92" s="5" t="s">
        <v>79</v>
      </c>
      <c r="E92" s="13" t="s">
        <v>182</v>
      </c>
      <c r="F92" s="47">
        <v>2309803</v>
      </c>
      <c r="G92" s="47">
        <f>F92/J4</f>
        <v>1358707.6470588236</v>
      </c>
      <c r="H92" s="47">
        <f>F92/J2</f>
        <v>14481.523510971787</v>
      </c>
    </row>
    <row r="93" spans="2:8">
      <c r="B93" s="12"/>
      <c r="C93" s="12"/>
      <c r="E93" s="13" t="s">
        <v>136</v>
      </c>
      <c r="F93" s="47">
        <v>699722</v>
      </c>
      <c r="G93" s="47">
        <f>F93/J4</f>
        <v>411601.17647058825</v>
      </c>
      <c r="H93" s="47">
        <f>F93/J2</f>
        <v>4386.9717868338557</v>
      </c>
    </row>
    <row r="94" spans="2:8">
      <c r="B94" s="12"/>
      <c r="C94" s="12"/>
      <c r="E94" s="13" t="s">
        <v>183</v>
      </c>
      <c r="F94" s="47">
        <v>200308</v>
      </c>
      <c r="G94" s="47">
        <f>F94/J4</f>
        <v>117828.23529411765</v>
      </c>
      <c r="H94" s="47">
        <f>F94/J2</f>
        <v>1255.8495297805644</v>
      </c>
    </row>
    <row r="95" spans="2:8">
      <c r="B95" s="12"/>
      <c r="C95" s="12"/>
      <c r="E95" s="13" t="s">
        <v>184</v>
      </c>
      <c r="F95" s="47">
        <v>200185</v>
      </c>
      <c r="G95" s="47">
        <f>F95/J4</f>
        <v>117755.88235294117</v>
      </c>
      <c r="H95" s="47">
        <f>F95/J2</f>
        <v>1255.0783699059562</v>
      </c>
    </row>
    <row r="96" spans="2:8">
      <c r="B96" s="12"/>
      <c r="C96" s="12"/>
      <c r="E96" s="13" t="s">
        <v>185</v>
      </c>
      <c r="F96" s="47">
        <v>200682</v>
      </c>
      <c r="G96" s="47">
        <f>F96/J4</f>
        <v>118048.23529411765</v>
      </c>
      <c r="H96" s="47">
        <f>F96/J2</f>
        <v>1258.1943573667711</v>
      </c>
    </row>
    <row r="97" spans="2:8">
      <c r="B97" s="12"/>
      <c r="C97" s="12"/>
      <c r="E97" s="13" t="s">
        <v>186</v>
      </c>
      <c r="F97" s="47">
        <v>50458</v>
      </c>
      <c r="G97" s="47">
        <f>F97/J4</f>
        <v>29681.176470588238</v>
      </c>
      <c r="H97" s="47">
        <f>F97/J2</f>
        <v>316.3510971786834</v>
      </c>
    </row>
    <row r="98" spans="2:8">
      <c r="B98" s="12"/>
      <c r="C98" s="12"/>
      <c r="E98" s="13" t="s">
        <v>187</v>
      </c>
      <c r="F98" s="47">
        <v>250175</v>
      </c>
      <c r="G98" s="47">
        <f>F98/J4</f>
        <v>147161.76470588235</v>
      </c>
      <c r="H98" s="47">
        <f>F98/J2</f>
        <v>1568.4952978056426</v>
      </c>
    </row>
    <row r="99" spans="2:8">
      <c r="B99" s="12"/>
      <c r="C99" s="12"/>
      <c r="E99" s="13" t="s">
        <v>91</v>
      </c>
      <c r="F99" s="47">
        <v>200316</v>
      </c>
      <c r="G99" s="47">
        <f>F99/J4</f>
        <v>117832.94117647059</v>
      </c>
      <c r="H99" s="47">
        <f>F99/J2</f>
        <v>1255.8996865203762</v>
      </c>
    </row>
    <row r="100" spans="2:8">
      <c r="B100" s="12"/>
      <c r="C100" s="12"/>
      <c r="E100" s="15" t="s">
        <v>188</v>
      </c>
      <c r="F100" s="48">
        <f>SUM(F92:F99)</f>
        <v>4111649</v>
      </c>
      <c r="G100" s="48">
        <f>SUM(G92:G99)</f>
        <v>2418617.0588235296</v>
      </c>
      <c r="H100" s="48">
        <f>SUM(H92:H99)</f>
        <v>25778.363636363636</v>
      </c>
    </row>
    <row r="101" spans="2:8">
      <c r="B101" s="12"/>
      <c r="C101" s="12"/>
      <c r="F101" s="12"/>
      <c r="G101" s="12"/>
      <c r="H101" s="12"/>
    </row>
    <row r="102" spans="2:8">
      <c r="B102" s="12"/>
      <c r="C102" s="12"/>
      <c r="E102" s="15" t="s">
        <v>127</v>
      </c>
      <c r="F102" s="19" t="s">
        <v>86</v>
      </c>
      <c r="G102" s="19" t="s">
        <v>87</v>
      </c>
      <c r="H102" s="19" t="s">
        <v>89</v>
      </c>
    </row>
    <row r="103" spans="2:8">
      <c r="B103" s="12"/>
      <c r="C103" s="12"/>
      <c r="D103" s="5" t="s">
        <v>80</v>
      </c>
      <c r="E103" s="13" t="s">
        <v>185</v>
      </c>
      <c r="F103" s="47">
        <v>1954124</v>
      </c>
      <c r="G103" s="47">
        <f>F103/J4</f>
        <v>1149484.705882353</v>
      </c>
      <c r="H103" s="47">
        <f>F103/J2</f>
        <v>12251.561128526646</v>
      </c>
    </row>
    <row r="104" spans="2:8">
      <c r="B104" s="12"/>
      <c r="C104" s="12"/>
      <c r="E104" s="13" t="s">
        <v>184</v>
      </c>
      <c r="F104" s="47">
        <v>405710</v>
      </c>
      <c r="G104" s="47">
        <f>F104/J4</f>
        <v>238652.9411764706</v>
      </c>
      <c r="H104" s="47">
        <f>F104/J2</f>
        <v>2543.6363636363635</v>
      </c>
    </row>
    <row r="105" spans="2:8">
      <c r="B105" s="12"/>
      <c r="C105" s="12"/>
      <c r="E105" s="13" t="s">
        <v>136</v>
      </c>
      <c r="F105" s="47">
        <v>290907</v>
      </c>
      <c r="G105" s="47">
        <f>F105/J4</f>
        <v>171121.76470588235</v>
      </c>
      <c r="H105" s="47">
        <f>F105/J2</f>
        <v>1823.8683385579936</v>
      </c>
    </row>
    <row r="106" spans="2:8">
      <c r="B106" s="12"/>
      <c r="C106" s="12"/>
      <c r="E106" s="13" t="s">
        <v>182</v>
      </c>
      <c r="F106" s="47">
        <v>450310</v>
      </c>
      <c r="G106" s="47">
        <f>F106/J4</f>
        <v>264888.23529411765</v>
      </c>
      <c r="H106" s="47">
        <f>F106/J2</f>
        <v>2823.2601880877742</v>
      </c>
    </row>
    <row r="107" spans="2:8">
      <c r="B107" s="12"/>
      <c r="C107" s="12"/>
      <c r="E107" s="13" t="s">
        <v>91</v>
      </c>
      <c r="F107" s="47">
        <v>40000</v>
      </c>
      <c r="G107" s="47">
        <f>F107/J4</f>
        <v>23529.411764705885</v>
      </c>
      <c r="H107" s="47">
        <f>F107/J2</f>
        <v>250.78369905956112</v>
      </c>
    </row>
    <row r="108" spans="2:8">
      <c r="B108" s="12"/>
      <c r="C108" s="12"/>
      <c r="E108" s="15" t="s">
        <v>188</v>
      </c>
      <c r="F108" s="48">
        <f>SUM(F103:F107)</f>
        <v>3141051</v>
      </c>
      <c r="G108" s="48">
        <f>SUM(G103:G107)</f>
        <v>1847677.0588235294</v>
      </c>
      <c r="H108" s="48">
        <f>SUM(H103:H107)</f>
        <v>19693.109717868338</v>
      </c>
    </row>
    <row r="109" spans="2:8">
      <c r="B109" s="12"/>
      <c r="C109" s="12"/>
      <c r="F109" s="12"/>
      <c r="G109" s="12"/>
      <c r="H109" s="12"/>
    </row>
    <row r="110" spans="2:8">
      <c r="B110" s="12"/>
      <c r="C110" s="12"/>
      <c r="E110" s="15" t="s">
        <v>190</v>
      </c>
      <c r="F110" s="19" t="s">
        <v>86</v>
      </c>
      <c r="G110" s="19" t="s">
        <v>87</v>
      </c>
      <c r="H110" s="19" t="s">
        <v>89</v>
      </c>
    </row>
    <row r="111" spans="2:8">
      <c r="B111" s="12"/>
      <c r="C111" s="12"/>
      <c r="D111" s="5" t="s">
        <v>189</v>
      </c>
      <c r="E111" s="13" t="s">
        <v>191</v>
      </c>
      <c r="F111" s="47">
        <v>600000</v>
      </c>
      <c r="G111" s="47">
        <f>F111/J4</f>
        <v>352941.17647058825</v>
      </c>
      <c r="H111" s="47">
        <f>F111/J2</f>
        <v>3761.7554858934168</v>
      </c>
    </row>
    <row r="112" spans="2:8">
      <c r="B112" s="12"/>
      <c r="C112" s="12"/>
      <c r="E112" s="13" t="s">
        <v>192</v>
      </c>
      <c r="F112" s="47">
        <v>350000</v>
      </c>
      <c r="G112" s="47">
        <f>F112/J4</f>
        <v>205882.35294117648</v>
      </c>
      <c r="H112" s="47">
        <f>F112/J2</f>
        <v>2194.3573667711598</v>
      </c>
    </row>
    <row r="113" spans="2:8">
      <c r="B113" s="12"/>
      <c r="C113" s="12"/>
      <c r="E113" s="13" t="s">
        <v>193</v>
      </c>
      <c r="F113" s="47">
        <v>190000</v>
      </c>
      <c r="G113" s="47">
        <f>F113/J4</f>
        <v>111764.70588235294</v>
      </c>
      <c r="H113" s="47">
        <f>F113/J2</f>
        <v>1191.2225705329154</v>
      </c>
    </row>
    <row r="114" spans="2:8">
      <c r="B114" s="12"/>
      <c r="C114" s="12"/>
      <c r="E114" s="13" t="s">
        <v>194</v>
      </c>
      <c r="F114" s="47">
        <v>260000</v>
      </c>
      <c r="G114" s="47">
        <f>F114/J4</f>
        <v>152941.17647058825</v>
      </c>
      <c r="H114" s="47">
        <f>F114/J2</f>
        <v>1630.0940438871473</v>
      </c>
    </row>
    <row r="115" spans="2:8">
      <c r="B115" s="12"/>
      <c r="C115" s="12"/>
      <c r="E115" s="13" t="s">
        <v>195</v>
      </c>
      <c r="F115" s="47">
        <v>290000</v>
      </c>
      <c r="G115" s="47">
        <f>F115/J4</f>
        <v>170588.23529411765</v>
      </c>
      <c r="H115" s="47">
        <f>F115/J2</f>
        <v>1818.1818181818182</v>
      </c>
    </row>
    <row r="116" spans="2:8">
      <c r="B116" s="12"/>
      <c r="C116" s="12"/>
      <c r="E116" s="13" t="s">
        <v>196</v>
      </c>
      <c r="F116" s="47">
        <v>100000</v>
      </c>
      <c r="G116" s="47">
        <f>F116/J4</f>
        <v>58823.529411764706</v>
      </c>
      <c r="H116" s="47">
        <f>F116/J2</f>
        <v>626.95924764890287</v>
      </c>
    </row>
    <row r="117" spans="2:8">
      <c r="B117" s="12"/>
      <c r="C117" s="12"/>
      <c r="E117" s="5" t="s">
        <v>188</v>
      </c>
      <c r="F117" s="46">
        <f>SUM(F111:F116)</f>
        <v>1790000</v>
      </c>
      <c r="G117" s="46">
        <f>SUM(G111:G116)</f>
        <v>1052941.1764705882</v>
      </c>
      <c r="H117" s="46">
        <f>SUM(H111:H116)</f>
        <v>11222.570532915361</v>
      </c>
    </row>
    <row r="118" spans="2:8">
      <c r="B118" s="12"/>
      <c r="C118" s="12"/>
      <c r="F118" s="12"/>
      <c r="G118" s="12"/>
      <c r="H118" s="12"/>
    </row>
    <row r="119" spans="2:8">
      <c r="B119" s="12"/>
      <c r="C119" s="12"/>
      <c r="E119" s="15" t="s">
        <v>190</v>
      </c>
      <c r="F119" s="19" t="s">
        <v>86</v>
      </c>
      <c r="G119" s="19" t="s">
        <v>87</v>
      </c>
      <c r="H119" s="19" t="s">
        <v>89</v>
      </c>
    </row>
    <row r="120" spans="2:8">
      <c r="B120" s="12"/>
      <c r="C120" s="12"/>
      <c r="D120" s="5" t="s">
        <v>197</v>
      </c>
      <c r="E120" s="13" t="s">
        <v>198</v>
      </c>
      <c r="F120" s="47">
        <v>350000</v>
      </c>
      <c r="G120" s="47">
        <f>F120/J4</f>
        <v>205882.35294117648</v>
      </c>
      <c r="H120" s="47">
        <f>F120/J2</f>
        <v>2194.3573667711598</v>
      </c>
    </row>
    <row r="121" spans="2:8">
      <c r="B121" s="12"/>
      <c r="C121" s="12"/>
      <c r="E121" s="15" t="s">
        <v>188</v>
      </c>
      <c r="F121" s="48">
        <f>SUM(F120:F120)</f>
        <v>350000</v>
      </c>
      <c r="G121" s="48">
        <f>SUM(G120:G120)</f>
        <v>205882.35294117648</v>
      </c>
      <c r="H121" s="48">
        <f>SUM(H120:H120)</f>
        <v>2194.3573667711598</v>
      </c>
    </row>
    <row r="122" spans="2:8" ht="21">
      <c r="B122" s="12"/>
      <c r="C122" s="52" t="s">
        <v>207</v>
      </c>
    </row>
    <row r="123" spans="2:8">
      <c r="B123" s="12"/>
      <c r="C123" s="12"/>
      <c r="D123" s="19" t="s">
        <v>207</v>
      </c>
    </row>
    <row r="124" spans="2:8">
      <c r="B124" s="12"/>
      <c r="C124" s="12"/>
      <c r="E124" s="15" t="s">
        <v>127</v>
      </c>
      <c r="F124" s="19" t="s">
        <v>89</v>
      </c>
      <c r="G124" s="19" t="s">
        <v>87</v>
      </c>
      <c r="H124" s="19" t="s">
        <v>86</v>
      </c>
    </row>
    <row r="125" spans="2:8">
      <c r="B125" s="12"/>
      <c r="C125" s="12"/>
      <c r="E125" s="13" t="s">
        <v>208</v>
      </c>
      <c r="F125" s="14">
        <v>2000</v>
      </c>
      <c r="G125" s="14">
        <f>F125*J3</f>
        <v>187600</v>
      </c>
      <c r="H125" s="14">
        <f>F125*J2</f>
        <v>319000</v>
      </c>
    </row>
    <row r="126" spans="2:8">
      <c r="B126" s="12"/>
      <c r="C126" s="12"/>
      <c r="E126" s="13" t="s">
        <v>209</v>
      </c>
      <c r="F126" s="14">
        <v>500</v>
      </c>
      <c r="G126" s="14">
        <f>F126*J3</f>
        <v>46900</v>
      </c>
      <c r="H126" s="14">
        <f>F126*J2</f>
        <v>79750</v>
      </c>
    </row>
    <row r="127" spans="2:8">
      <c r="B127" s="12"/>
      <c r="C127" s="12"/>
      <c r="E127" s="15" t="s">
        <v>188</v>
      </c>
      <c r="F127" s="20">
        <f>SUM(F124:F126)</f>
        <v>2500</v>
      </c>
      <c r="G127" s="20">
        <f>SUM(G124:G126)</f>
        <v>234500</v>
      </c>
      <c r="H127" s="20">
        <f>SUM(H124:H126)</f>
        <v>398750</v>
      </c>
    </row>
    <row r="128" spans="2:8">
      <c r="B128" s="12"/>
      <c r="C128" s="12"/>
      <c r="F128" s="12"/>
      <c r="G128" s="12"/>
      <c r="H128" s="12"/>
    </row>
    <row r="129" spans="2:8" ht="23.4">
      <c r="B129" s="51" t="s">
        <v>199</v>
      </c>
      <c r="C129" s="12"/>
      <c r="F129" s="12"/>
      <c r="G129" s="12"/>
      <c r="H129" s="12"/>
    </row>
    <row r="130" spans="2:8" ht="21">
      <c r="B130" s="12"/>
      <c r="C130" s="52" t="s">
        <v>83</v>
      </c>
      <c r="F130" s="12"/>
      <c r="G130" s="12"/>
      <c r="H130" s="12"/>
    </row>
    <row r="131" spans="2:8" ht="21">
      <c r="B131" s="12"/>
      <c r="C131" s="12"/>
      <c r="D131" s="52" t="s">
        <v>205</v>
      </c>
      <c r="F131" s="12"/>
      <c r="G131" s="12"/>
      <c r="H131" s="12"/>
    </row>
    <row r="132" spans="2:8">
      <c r="B132" s="12"/>
      <c r="C132" s="12"/>
      <c r="E132" s="15" t="s">
        <v>127</v>
      </c>
      <c r="F132" s="19" t="s">
        <v>87</v>
      </c>
      <c r="G132" s="19" t="s">
        <v>86</v>
      </c>
      <c r="H132" s="19" t="s">
        <v>89</v>
      </c>
    </row>
    <row r="133" spans="2:8">
      <c r="B133" s="12"/>
      <c r="C133" s="12"/>
      <c r="D133" s="5" t="s">
        <v>79</v>
      </c>
      <c r="E133" s="13" t="s">
        <v>200</v>
      </c>
      <c r="F133" s="47">
        <v>16500</v>
      </c>
      <c r="G133" s="47">
        <f>F133*J4</f>
        <v>28050</v>
      </c>
      <c r="H133" s="47">
        <f>F133/J3</f>
        <v>175.90618336886993</v>
      </c>
    </row>
    <row r="134" spans="2:8">
      <c r="B134" s="12"/>
      <c r="C134" s="12"/>
      <c r="E134" s="13" t="s">
        <v>201</v>
      </c>
      <c r="F134" s="47">
        <v>12000</v>
      </c>
      <c r="G134" s="47">
        <f>F134*J4</f>
        <v>20400</v>
      </c>
      <c r="H134" s="47">
        <f>F134/J3</f>
        <v>127.93176972281451</v>
      </c>
    </row>
    <row r="135" spans="2:8">
      <c r="B135" s="12"/>
      <c r="C135" s="12"/>
      <c r="E135" s="13" t="s">
        <v>202</v>
      </c>
      <c r="F135" s="47">
        <v>18000</v>
      </c>
      <c r="G135" s="47">
        <f>F135*J4</f>
        <v>30600</v>
      </c>
      <c r="H135" s="47">
        <f>F135/J3</f>
        <v>191.89765458422175</v>
      </c>
    </row>
    <row r="136" spans="2:8">
      <c r="B136" s="12"/>
      <c r="C136" s="12"/>
      <c r="E136" s="13" t="s">
        <v>203</v>
      </c>
      <c r="F136" s="47">
        <v>5000</v>
      </c>
      <c r="G136" s="47">
        <f>F136*J4</f>
        <v>8500</v>
      </c>
      <c r="H136" s="47">
        <f>F136/J3</f>
        <v>53.304904051172713</v>
      </c>
    </row>
    <row r="137" spans="2:8">
      <c r="B137" s="12"/>
      <c r="C137" s="12"/>
      <c r="E137" s="13" t="s">
        <v>204</v>
      </c>
      <c r="F137" s="47">
        <v>16000</v>
      </c>
      <c r="G137" s="47">
        <f>F137*J4</f>
        <v>27200</v>
      </c>
      <c r="H137" s="47">
        <f>F137/J3</f>
        <v>170.57569296375266</v>
      </c>
    </row>
    <row r="138" spans="2:8">
      <c r="B138" s="12"/>
      <c r="C138" s="12"/>
      <c r="E138" s="13" t="s">
        <v>206</v>
      </c>
      <c r="F138" s="47">
        <v>2862</v>
      </c>
      <c r="G138" s="47">
        <f>F138*J4</f>
        <v>4865.3999999999996</v>
      </c>
      <c r="H138" s="47">
        <f>F138/J3</f>
        <v>30.511727078891258</v>
      </c>
    </row>
    <row r="139" spans="2:8">
      <c r="B139" s="12"/>
      <c r="C139" s="12"/>
      <c r="E139" s="15" t="s">
        <v>188</v>
      </c>
      <c r="F139" s="48">
        <f>SUM(F133:F137)</f>
        <v>67500</v>
      </c>
      <c r="G139" s="48">
        <f>SUM(G133:G137)</f>
        <v>114750</v>
      </c>
      <c r="H139" s="48">
        <f>SUM(H133:H138)</f>
        <v>750.12793176972275</v>
      </c>
    </row>
    <row r="140" spans="2:8">
      <c r="B140" s="12"/>
      <c r="C140" s="12"/>
      <c r="F140" s="12"/>
      <c r="G140" s="12"/>
      <c r="H140" s="12"/>
    </row>
    <row r="141" spans="2:8">
      <c r="B141" s="12"/>
      <c r="C141" s="12"/>
      <c r="F141" s="12"/>
      <c r="G141" s="12"/>
      <c r="H141" s="12"/>
    </row>
    <row r="142" spans="2:8" ht="23.4">
      <c r="B142" s="51" t="s">
        <v>215</v>
      </c>
      <c r="C142" s="12"/>
      <c r="F142" s="12"/>
      <c r="G142" s="12"/>
      <c r="H142" s="12"/>
    </row>
    <row r="143" spans="2:8" ht="21">
      <c r="B143" s="12"/>
      <c r="C143" s="12"/>
      <c r="D143" s="52" t="s">
        <v>210</v>
      </c>
      <c r="F143" s="12"/>
      <c r="G143" s="12"/>
      <c r="H143" s="12"/>
    </row>
    <row r="144" spans="2:8">
      <c r="B144" s="12"/>
      <c r="C144" s="12"/>
      <c r="E144" s="15" t="s">
        <v>211</v>
      </c>
      <c r="F144" s="19" t="s">
        <v>87</v>
      </c>
      <c r="G144" s="19" t="s">
        <v>86</v>
      </c>
      <c r="H144" s="19" t="s">
        <v>89</v>
      </c>
    </row>
    <row r="145" spans="2:8">
      <c r="B145" s="12"/>
      <c r="C145" s="12"/>
      <c r="D145" s="5" t="s">
        <v>83</v>
      </c>
      <c r="E145" s="13" t="s">
        <v>213</v>
      </c>
      <c r="F145" s="47">
        <f>10.5*14280</f>
        <v>149940</v>
      </c>
      <c r="G145" s="47">
        <f>F145*J4</f>
        <v>254898</v>
      </c>
      <c r="H145" s="47">
        <f>F145/J3</f>
        <v>1598.5074626865671</v>
      </c>
    </row>
    <row r="146" spans="2:8">
      <c r="B146" s="12"/>
      <c r="C146" s="12"/>
      <c r="E146" s="13" t="s">
        <v>212</v>
      </c>
      <c r="F146" s="47">
        <f>14.83*14280</f>
        <v>211772.4</v>
      </c>
      <c r="G146" s="47">
        <f>F146*J4</f>
        <v>360013.07999999996</v>
      </c>
      <c r="H146" s="47">
        <f>F146/J3</f>
        <v>2257.7014925373132</v>
      </c>
    </row>
    <row r="147" spans="2:8">
      <c r="B147" s="12"/>
      <c r="C147" s="12"/>
      <c r="E147" s="15" t="s">
        <v>188</v>
      </c>
      <c r="F147" s="48">
        <f>SUM(F145:F146)</f>
        <v>361712.4</v>
      </c>
      <c r="G147" s="48">
        <f>SUM(G145:G146)</f>
        <v>614911.07999999996</v>
      </c>
      <c r="H147" s="48">
        <f>SUM(H145:H146)</f>
        <v>3856.2089552238804</v>
      </c>
    </row>
    <row r="148" spans="2:8">
      <c r="B148" s="12"/>
      <c r="C148" s="12"/>
      <c r="F148" s="12"/>
      <c r="G148" s="12"/>
      <c r="H148" s="12"/>
    </row>
    <row r="149" spans="2:8">
      <c r="B149" s="12"/>
      <c r="C149" s="12"/>
      <c r="E149" s="15" t="s">
        <v>214</v>
      </c>
      <c r="F149" s="19" t="s">
        <v>86</v>
      </c>
      <c r="G149" s="19" t="s">
        <v>87</v>
      </c>
      <c r="H149" s="19" t="s">
        <v>89</v>
      </c>
    </row>
    <row r="150" spans="2:8">
      <c r="B150" s="12"/>
      <c r="C150" s="12"/>
      <c r="D150" s="5" t="s">
        <v>82</v>
      </c>
      <c r="E150" s="13" t="s">
        <v>79</v>
      </c>
      <c r="F150" s="47">
        <v>45152</v>
      </c>
      <c r="G150" s="47">
        <f>F150/J4</f>
        <v>26560</v>
      </c>
      <c r="H150" s="47">
        <f>F150/J2</f>
        <v>283.08463949843258</v>
      </c>
    </row>
    <row r="151" spans="2:8">
      <c r="B151" s="12"/>
      <c r="C151" s="12"/>
      <c r="E151" s="13" t="s">
        <v>80</v>
      </c>
      <c r="F151" s="47">
        <v>45152</v>
      </c>
      <c r="G151" s="47">
        <f>F151/J4</f>
        <v>26560</v>
      </c>
      <c r="H151" s="47">
        <f>F151/J2</f>
        <v>283.08463949843258</v>
      </c>
    </row>
    <row r="152" spans="2:8">
      <c r="B152" s="12"/>
      <c r="C152" s="12"/>
      <c r="E152" s="15" t="s">
        <v>188</v>
      </c>
      <c r="F152" s="48">
        <f>SUM(F150:F151)</f>
        <v>90304</v>
      </c>
      <c r="G152" s="48">
        <f>SUM(G150:G151)</f>
        <v>53120</v>
      </c>
      <c r="H152" s="48">
        <f>SUM(H150:H151)</f>
        <v>566.16927899686516</v>
      </c>
    </row>
    <row r="153" spans="2:8" ht="21">
      <c r="B153" s="12"/>
      <c r="C153" s="12"/>
      <c r="D153" s="52" t="s">
        <v>222</v>
      </c>
      <c r="F153" s="12"/>
      <c r="G153" s="12"/>
      <c r="H153" s="12"/>
    </row>
    <row r="154" spans="2:8">
      <c r="B154" s="12"/>
      <c r="C154" s="12"/>
      <c r="E154" s="15" t="s">
        <v>223</v>
      </c>
      <c r="F154" s="19" t="s">
        <v>87</v>
      </c>
      <c r="G154" s="19" t="s">
        <v>86</v>
      </c>
      <c r="H154" s="19" t="s">
        <v>89</v>
      </c>
    </row>
    <row r="155" spans="2:8">
      <c r="B155" s="12"/>
      <c r="C155" s="12"/>
      <c r="D155" s="5" t="s">
        <v>82</v>
      </c>
      <c r="E155" s="13" t="s">
        <v>224</v>
      </c>
      <c r="F155" s="47">
        <v>1500000</v>
      </c>
      <c r="G155" s="47">
        <f>F155*J4</f>
        <v>2550000</v>
      </c>
      <c r="H155" s="47">
        <f>F155/J3</f>
        <v>15991.471215351812</v>
      </c>
    </row>
    <row r="156" spans="2:8">
      <c r="B156" s="12"/>
      <c r="C156" s="12"/>
      <c r="E156" s="15" t="s">
        <v>188</v>
      </c>
      <c r="F156" s="48">
        <f>SUM(F155:F155)</f>
        <v>1500000</v>
      </c>
      <c r="G156" s="48">
        <f>SUM(G155:G155)</f>
        <v>2550000</v>
      </c>
      <c r="H156" s="48">
        <f>SUM(H155:H155)</f>
        <v>15991.471215351812</v>
      </c>
    </row>
    <row r="157" spans="2:8">
      <c r="B157" s="12"/>
      <c r="C157" s="12"/>
      <c r="E157" s="5"/>
      <c r="F157" s="46"/>
      <c r="G157" s="46"/>
      <c r="H157" s="46"/>
    </row>
    <row r="158" spans="2:8" ht="21">
      <c r="B158" s="12"/>
      <c r="C158" s="12"/>
      <c r="D158" s="52" t="s">
        <v>227</v>
      </c>
      <c r="F158" s="12"/>
      <c r="G158" s="12"/>
      <c r="H158" s="12"/>
    </row>
    <row r="159" spans="2:8">
      <c r="B159" s="12"/>
      <c r="C159" s="12"/>
      <c r="E159" s="15" t="s">
        <v>228</v>
      </c>
      <c r="F159" s="19" t="s">
        <v>86</v>
      </c>
      <c r="G159" s="19" t="s">
        <v>87</v>
      </c>
      <c r="H159" s="19" t="s">
        <v>89</v>
      </c>
    </row>
    <row r="160" spans="2:8">
      <c r="B160" s="12"/>
      <c r="C160" s="12"/>
      <c r="D160" s="5" t="s">
        <v>83</v>
      </c>
      <c r="E160" s="13" t="s">
        <v>79</v>
      </c>
      <c r="F160" s="47">
        <v>9686353</v>
      </c>
      <c r="G160" s="47">
        <f>F160*J4</f>
        <v>16466800.1</v>
      </c>
      <c r="H160" s="47">
        <f>F160/J2</f>
        <v>60729.485893416932</v>
      </c>
    </row>
    <row r="161" spans="2:8">
      <c r="B161" s="12"/>
      <c r="C161" s="12"/>
      <c r="E161" s="13" t="s">
        <v>80</v>
      </c>
      <c r="F161" s="47">
        <v>3743861</v>
      </c>
      <c r="G161" s="47">
        <f>F161*J4</f>
        <v>6364563.7000000002</v>
      </c>
      <c r="H161" s="47">
        <f>F161/J2</f>
        <v>23472.482758620688</v>
      </c>
    </row>
    <row r="162" spans="2:8">
      <c r="B162" s="12"/>
      <c r="C162" s="12"/>
      <c r="E162" s="15" t="s">
        <v>188</v>
      </c>
      <c r="F162" s="48">
        <f>SUM(F160:F161)</f>
        <v>13430214</v>
      </c>
      <c r="G162" s="48">
        <f>SUM(G160:G161)</f>
        <v>22831363.800000001</v>
      </c>
      <c r="H162" s="48">
        <f>SUM(H160:H161)</f>
        <v>84201.968652037613</v>
      </c>
    </row>
    <row r="163" spans="2:8">
      <c r="B163" s="12"/>
      <c r="C163" s="12"/>
      <c r="F163" s="12"/>
      <c r="G163" s="12"/>
      <c r="H163" s="12"/>
    </row>
    <row r="164" spans="2:8" ht="23.4">
      <c r="B164" s="51" t="s">
        <v>216</v>
      </c>
      <c r="C164" s="12"/>
      <c r="F164" s="12"/>
      <c r="G164" s="12"/>
      <c r="H164" s="12"/>
    </row>
    <row r="165" spans="2:8" ht="21">
      <c r="B165" s="12"/>
      <c r="C165" s="12"/>
      <c r="D165" s="52" t="s">
        <v>217</v>
      </c>
      <c r="F165" s="12"/>
      <c r="G165" s="12"/>
      <c r="H165" s="12"/>
    </row>
    <row r="166" spans="2:8">
      <c r="B166" s="12"/>
      <c r="C166" s="12"/>
      <c r="E166" s="15" t="s">
        <v>217</v>
      </c>
      <c r="F166" s="19" t="s">
        <v>86</v>
      </c>
      <c r="G166" s="19" t="s">
        <v>87</v>
      </c>
      <c r="H166" s="19" t="s">
        <v>89</v>
      </c>
    </row>
    <row r="167" spans="2:8">
      <c r="B167" s="12"/>
      <c r="C167" s="12"/>
      <c r="D167" s="5" t="s">
        <v>82</v>
      </c>
      <c r="E167" s="13" t="s">
        <v>79</v>
      </c>
      <c r="F167" s="47">
        <v>2358340</v>
      </c>
      <c r="G167" s="47">
        <f>F167*J4</f>
        <v>4009178</v>
      </c>
      <c r="H167" s="47">
        <f>F167/J2</f>
        <v>14785.830721003134</v>
      </c>
    </row>
    <row r="168" spans="2:8">
      <c r="B168" s="12"/>
      <c r="C168" s="12"/>
      <c r="E168" s="13" t="s">
        <v>80</v>
      </c>
      <c r="F168" s="47">
        <v>1850646</v>
      </c>
      <c r="G168" s="47">
        <f>F168*J4</f>
        <v>3146098.1999999997</v>
      </c>
      <c r="H168" s="47">
        <f>F168/J2</f>
        <v>11602.796238244515</v>
      </c>
    </row>
    <row r="169" spans="2:8">
      <c r="B169" s="12"/>
      <c r="C169" s="12"/>
      <c r="E169" s="15" t="s">
        <v>188</v>
      </c>
      <c r="F169" s="48">
        <f>SUM(F167:F168)</f>
        <v>4208986</v>
      </c>
      <c r="G169" s="48">
        <f>SUM(G167:G168)</f>
        <v>7155276.1999999993</v>
      </c>
      <c r="H169" s="48">
        <f>SUM(H167:H168)</f>
        <v>26388.626959247649</v>
      </c>
    </row>
    <row r="170" spans="2:8">
      <c r="B170" s="12"/>
      <c r="C170" s="12"/>
      <c r="F170" s="12"/>
      <c r="G170" s="12"/>
      <c r="H170" s="12"/>
    </row>
    <row r="171" spans="2:8" ht="21">
      <c r="B171" s="12"/>
      <c r="C171" s="12"/>
      <c r="D171" s="52" t="s">
        <v>218</v>
      </c>
      <c r="F171" s="12"/>
      <c r="G171" s="12"/>
      <c r="H171" s="12"/>
    </row>
    <row r="172" spans="2:8">
      <c r="B172" s="12"/>
      <c r="C172" s="12"/>
      <c r="E172" s="15" t="s">
        <v>88</v>
      </c>
      <c r="F172" s="19" t="s">
        <v>87</v>
      </c>
      <c r="G172" s="19" t="s">
        <v>86</v>
      </c>
      <c r="H172" s="19" t="s">
        <v>89</v>
      </c>
    </row>
    <row r="173" spans="2:8">
      <c r="B173" s="12"/>
      <c r="C173" s="12"/>
      <c r="D173" s="5" t="s">
        <v>83</v>
      </c>
      <c r="E173" s="13" t="s">
        <v>219</v>
      </c>
      <c r="F173" s="47">
        <v>79045</v>
      </c>
      <c r="G173" s="47">
        <f>F173*J4</f>
        <v>134376.5</v>
      </c>
      <c r="H173" s="47">
        <f>F173/J2</f>
        <v>495.57993730407526</v>
      </c>
    </row>
    <row r="174" spans="2:8">
      <c r="B174" s="12"/>
      <c r="C174" s="12"/>
      <c r="E174" s="13" t="s">
        <v>220</v>
      </c>
      <c r="F174" s="47">
        <v>243475</v>
      </c>
      <c r="G174" s="47">
        <f>F174*J4</f>
        <v>413907.5</v>
      </c>
      <c r="H174" s="47">
        <f>F174/J2</f>
        <v>1526.4890282131662</v>
      </c>
    </row>
    <row r="175" spans="2:8">
      <c r="B175" s="12"/>
      <c r="C175" s="12"/>
      <c r="E175" s="13" t="s">
        <v>221</v>
      </c>
      <c r="F175" s="47">
        <v>68360</v>
      </c>
      <c r="G175" s="47">
        <f>F175*J4</f>
        <v>116212</v>
      </c>
      <c r="H175" s="47">
        <f>F175/J2</f>
        <v>428.58934169278996</v>
      </c>
    </row>
    <row r="176" spans="2:8">
      <c r="B176" s="12"/>
      <c r="C176" s="12"/>
      <c r="E176" s="15" t="s">
        <v>188</v>
      </c>
      <c r="F176" s="48">
        <f>SUM(F173:F175)</f>
        <v>390880</v>
      </c>
      <c r="G176" s="48">
        <f>SUM(G173:G175)</f>
        <v>664496</v>
      </c>
      <c r="H176" s="48">
        <f>SUM(H173:H175)</f>
        <v>2450.6583072100311</v>
      </c>
    </row>
    <row r="177" spans="2:8">
      <c r="B177" s="12"/>
      <c r="C177" s="12"/>
      <c r="F177" s="12"/>
      <c r="G177" s="12"/>
      <c r="H177" s="12"/>
    </row>
    <row r="178" spans="2:8">
      <c r="B178" s="12"/>
      <c r="C178" s="12"/>
      <c r="F178" s="12"/>
      <c r="G178" s="12"/>
      <c r="H178" s="12"/>
    </row>
    <row r="179" spans="2:8">
      <c r="B179" s="12"/>
      <c r="C179" s="12"/>
      <c r="F179" s="12"/>
      <c r="G179" s="12"/>
      <c r="H179" s="12"/>
    </row>
    <row r="180" spans="2:8" ht="23.4">
      <c r="B180" s="51" t="s">
        <v>225</v>
      </c>
      <c r="C180" s="12"/>
      <c r="F180" s="12"/>
      <c r="G180" s="12"/>
      <c r="H180" s="12"/>
    </row>
    <row r="181" spans="2:8" ht="21">
      <c r="B181" s="12"/>
      <c r="C181" s="12"/>
      <c r="D181" s="52" t="s">
        <v>83</v>
      </c>
      <c r="F181" s="12"/>
      <c r="G181" s="12"/>
      <c r="H181" s="12"/>
    </row>
    <row r="182" spans="2:8">
      <c r="B182" s="12"/>
      <c r="C182" s="12"/>
      <c r="E182" s="15" t="s">
        <v>226</v>
      </c>
      <c r="F182" s="19" t="s">
        <v>87</v>
      </c>
      <c r="G182" s="19" t="s">
        <v>86</v>
      </c>
      <c r="H182" s="19" t="s">
        <v>89</v>
      </c>
    </row>
    <row r="183" spans="2:8">
      <c r="B183" s="12"/>
      <c r="C183" s="12"/>
      <c r="E183" s="13" t="s">
        <v>216</v>
      </c>
      <c r="F183" s="47">
        <v>85433</v>
      </c>
      <c r="G183" s="47">
        <f>F183*J4</f>
        <v>145236.1</v>
      </c>
      <c r="H183" s="47">
        <f>F183/J3</f>
        <v>910.79957356076761</v>
      </c>
    </row>
    <row r="184" spans="2:8">
      <c r="B184" s="12"/>
      <c r="C184" s="12"/>
      <c r="E184" s="13" t="s">
        <v>126</v>
      </c>
      <c r="F184" s="47">
        <v>9692378</v>
      </c>
      <c r="G184" s="47">
        <f>F184*J4</f>
        <v>16477042.6</v>
      </c>
      <c r="H184" s="47">
        <f>F184/J3</f>
        <v>103330.25586353945</v>
      </c>
    </row>
    <row r="185" spans="2:8">
      <c r="B185" s="12"/>
      <c r="C185" s="12"/>
      <c r="E185" s="15" t="s">
        <v>188</v>
      </c>
      <c r="F185" s="48">
        <f>SUM(F182:F184)</f>
        <v>9777811</v>
      </c>
      <c r="G185" s="48">
        <f>SUM(G182:G184)</f>
        <v>16622278.699999999</v>
      </c>
      <c r="H185" s="48">
        <f>SUM(H182:H184)</f>
        <v>104241.05543710022</v>
      </c>
    </row>
    <row r="186" spans="2:8">
      <c r="B186" s="12"/>
      <c r="C186" s="12"/>
      <c r="F186" s="12"/>
      <c r="G186" s="12"/>
      <c r="H186" s="12"/>
    </row>
    <row r="187" spans="2:8">
      <c r="B187" s="12"/>
      <c r="C187" s="12"/>
      <c r="F187" s="12"/>
      <c r="G187" s="12"/>
      <c r="H187" s="12"/>
    </row>
    <row r="188" spans="2:8">
      <c r="B188" s="12"/>
      <c r="C188" s="12"/>
      <c r="F188" s="12"/>
      <c r="G188" s="12"/>
      <c r="H188" s="12"/>
    </row>
    <row r="189" spans="2:8">
      <c r="B189" s="12"/>
      <c r="C189" s="12"/>
      <c r="F189" s="12"/>
      <c r="G189" s="12"/>
      <c r="H189" s="12"/>
    </row>
    <row r="190" spans="2:8" ht="23.4">
      <c r="B190" s="51" t="s">
        <v>85</v>
      </c>
      <c r="C190" s="12"/>
    </row>
    <row r="191" spans="2:8">
      <c r="B191" s="12"/>
      <c r="C191" s="19" t="s">
        <v>142</v>
      </c>
    </row>
    <row r="192" spans="2:8">
      <c r="B192" s="12"/>
      <c r="C192" s="12"/>
      <c r="D192" s="19" t="s">
        <v>143</v>
      </c>
    </row>
    <row r="193" spans="2:8">
      <c r="B193" s="12"/>
      <c r="C193" s="12"/>
      <c r="E193" s="15" t="s">
        <v>144</v>
      </c>
      <c r="F193" s="19" t="s">
        <v>145</v>
      </c>
      <c r="G193" s="19" t="s">
        <v>146</v>
      </c>
      <c r="H193" s="19" t="s">
        <v>165</v>
      </c>
    </row>
    <row r="194" spans="2:8" ht="43.2">
      <c r="B194" s="12"/>
      <c r="C194" s="12"/>
      <c r="E194" s="16" t="s">
        <v>92</v>
      </c>
      <c r="F194" s="14" t="s">
        <v>163</v>
      </c>
      <c r="G194" s="14">
        <v>670</v>
      </c>
      <c r="H194" s="14">
        <f>G194</f>
        <v>670</v>
      </c>
    </row>
    <row r="195" spans="2:8">
      <c r="B195" s="12"/>
      <c r="C195" s="12"/>
      <c r="E195" s="16"/>
      <c r="F195" s="14" t="s">
        <v>164</v>
      </c>
      <c r="G195" s="14">
        <v>608</v>
      </c>
      <c r="H195" s="14">
        <f>G195</f>
        <v>608</v>
      </c>
    </row>
    <row r="196" spans="2:8">
      <c r="B196" s="12"/>
      <c r="C196" s="12"/>
      <c r="E196" s="16"/>
      <c r="F196" s="14" t="s">
        <v>166</v>
      </c>
      <c r="G196" s="14"/>
      <c r="H196" s="37">
        <v>11.92</v>
      </c>
    </row>
    <row r="197" spans="2:8">
      <c r="E197" s="13" t="s">
        <v>93</v>
      </c>
      <c r="F197" s="13" t="s">
        <v>163</v>
      </c>
      <c r="G197" s="13">
        <v>464</v>
      </c>
      <c r="H197" s="14">
        <f>G197</f>
        <v>464</v>
      </c>
    </row>
    <row r="198" spans="2:8">
      <c r="E198" s="13" t="s">
        <v>94</v>
      </c>
      <c r="F198" s="13" t="s">
        <v>176</v>
      </c>
      <c r="G198" s="13">
        <v>0.15122566000000001</v>
      </c>
      <c r="H198" s="37">
        <v>11809.8</v>
      </c>
    </row>
    <row r="199" spans="2:8">
      <c r="E199" s="13" t="s">
        <v>95</v>
      </c>
      <c r="F199" s="13" t="s">
        <v>164</v>
      </c>
      <c r="G199" s="13">
        <v>102</v>
      </c>
      <c r="H199" s="14">
        <f>G199</f>
        <v>102</v>
      </c>
    </row>
    <row r="200" spans="2:8">
      <c r="E200" s="13" t="s">
        <v>96</v>
      </c>
      <c r="F200" s="13" t="s">
        <v>163</v>
      </c>
      <c r="G200" s="13">
        <v>18.27</v>
      </c>
      <c r="H200" s="13">
        <f>G200</f>
        <v>18.27</v>
      </c>
    </row>
    <row r="201" spans="2:8">
      <c r="E201" s="13" t="s">
        <v>97</v>
      </c>
      <c r="F201" s="13" t="s">
        <v>176</v>
      </c>
      <c r="G201" s="13">
        <v>0.32345411000000002</v>
      </c>
      <c r="H201" s="37">
        <v>25278.68</v>
      </c>
    </row>
    <row r="202" spans="2:8">
      <c r="E202" s="13" t="s">
        <v>98</v>
      </c>
      <c r="F202" s="13" t="s">
        <v>163</v>
      </c>
      <c r="G202" s="13">
        <v>190</v>
      </c>
      <c r="H202" s="13">
        <f>G202</f>
        <v>190</v>
      </c>
    </row>
    <row r="203" spans="2:8">
      <c r="E203" s="13" t="s">
        <v>167</v>
      </c>
      <c r="F203" s="13"/>
      <c r="G203" s="13">
        <v>0</v>
      </c>
      <c r="H203" s="13">
        <v>0</v>
      </c>
    </row>
    <row r="204" spans="2:8">
      <c r="E204" s="13" t="s">
        <v>181</v>
      </c>
      <c r="F204" s="13" t="s">
        <v>164</v>
      </c>
      <c r="G204" s="13">
        <v>2196</v>
      </c>
      <c r="H204" s="13">
        <f>G204</f>
        <v>2196</v>
      </c>
    </row>
    <row r="205" spans="2:8">
      <c r="E205" s="13" t="s">
        <v>161</v>
      </c>
      <c r="F205" s="13" t="s">
        <v>163</v>
      </c>
      <c r="G205" s="13">
        <v>0</v>
      </c>
      <c r="H205" s="13">
        <v>0</v>
      </c>
    </row>
    <row r="206" spans="2:8">
      <c r="E206" s="13" t="s">
        <v>161</v>
      </c>
      <c r="F206" s="13" t="s">
        <v>164</v>
      </c>
      <c r="G206" s="13">
        <v>0</v>
      </c>
      <c r="H206" s="13">
        <v>0</v>
      </c>
    </row>
    <row r="207" spans="2:8">
      <c r="E207" s="13" t="s">
        <v>161</v>
      </c>
      <c r="F207" s="13" t="s">
        <v>176</v>
      </c>
      <c r="G207" s="13">
        <v>7.7420710000000004E-2</v>
      </c>
      <c r="H207" s="37">
        <v>6044.72</v>
      </c>
    </row>
    <row r="208" spans="2:8">
      <c r="E208" s="13" t="s">
        <v>162</v>
      </c>
      <c r="F208" s="13" t="s">
        <v>163</v>
      </c>
      <c r="G208" s="13">
        <v>1000</v>
      </c>
      <c r="H208" s="13">
        <f>G208</f>
        <v>1000</v>
      </c>
    </row>
    <row r="209" spans="2:18">
      <c r="E209" s="13" t="s">
        <v>162</v>
      </c>
      <c r="F209" s="13" t="s">
        <v>164</v>
      </c>
      <c r="G209" s="13">
        <v>4000</v>
      </c>
      <c r="H209" s="13">
        <f>G209</f>
        <v>4000</v>
      </c>
    </row>
    <row r="210" spans="2:18">
      <c r="E210" s="13" t="s">
        <v>162</v>
      </c>
      <c r="F210" s="13" t="s">
        <v>176</v>
      </c>
      <c r="G210" s="13">
        <v>0.14131068999999999</v>
      </c>
      <c r="H210" s="14">
        <v>11033</v>
      </c>
    </row>
    <row r="211" spans="2:18">
      <c r="D211" s="19" t="s">
        <v>180</v>
      </c>
      <c r="E211" s="13" t="s">
        <v>167</v>
      </c>
      <c r="F211" s="13" t="s">
        <v>179</v>
      </c>
      <c r="G211" s="13">
        <v>2857.7713789999998</v>
      </c>
      <c r="H211" s="71">
        <v>5313</v>
      </c>
      <c r="I211" s="15" t="s">
        <v>87</v>
      </c>
      <c r="J211" s="15" t="s">
        <v>86</v>
      </c>
    </row>
    <row r="212" spans="2:18">
      <c r="G212" s="18" t="s">
        <v>100</v>
      </c>
      <c r="H212" s="46">
        <f>SUM(H194:H211)</f>
        <v>68739.39</v>
      </c>
      <c r="I212" s="19">
        <f>H212*J3</f>
        <v>6447754.7819999997</v>
      </c>
      <c r="J212" s="19">
        <f>H212*J2</f>
        <v>10963932.705</v>
      </c>
    </row>
    <row r="213" spans="2:18">
      <c r="B213" s="18" t="s">
        <v>159</v>
      </c>
      <c r="C213" s="35"/>
      <c r="D213" s="15" t="s">
        <v>87</v>
      </c>
      <c r="E213" s="15" t="s">
        <v>86</v>
      </c>
      <c r="F213" s="28"/>
      <c r="G213" s="28"/>
      <c r="H213" s="28"/>
      <c r="I213" s="28"/>
      <c r="J213" s="15" t="s">
        <v>87</v>
      </c>
      <c r="K213" s="15" t="s">
        <v>86</v>
      </c>
      <c r="L213" s="28"/>
      <c r="M213" s="28"/>
      <c r="N213" s="28"/>
      <c r="O213" s="28"/>
      <c r="P213" s="28"/>
      <c r="Q213" s="28"/>
      <c r="R213" s="28"/>
    </row>
    <row r="214" spans="2:18" ht="22.2">
      <c r="C214" s="29" t="s">
        <v>148</v>
      </c>
      <c r="D214" s="72">
        <f>D216*J3</f>
        <v>4711386.3999999994</v>
      </c>
      <c r="E214" s="19">
        <f>D216*J2</f>
        <v>8011366</v>
      </c>
      <c r="F214" s="28"/>
      <c r="G214" s="28"/>
      <c r="H214" s="28"/>
    </row>
    <row r="215" spans="2:18">
      <c r="C215" s="28"/>
      <c r="D215" s="30" t="s">
        <v>150</v>
      </c>
      <c r="E215" s="30" t="s">
        <v>151</v>
      </c>
      <c r="F215" s="30" t="s">
        <v>102</v>
      </c>
      <c r="G215" s="28"/>
      <c r="H215" s="28"/>
    </row>
    <row r="216" spans="2:18">
      <c r="C216" s="30" t="s">
        <v>152</v>
      </c>
      <c r="D216" s="31">
        <v>50228</v>
      </c>
      <c r="E216" s="31">
        <v>8011885</v>
      </c>
      <c r="F216" s="32"/>
      <c r="G216" s="28"/>
      <c r="H216" s="28"/>
    </row>
    <row r="217" spans="2:18">
      <c r="C217" s="30" t="s">
        <v>153</v>
      </c>
      <c r="D217" s="31">
        <f>D219+D218</f>
        <v>30734</v>
      </c>
      <c r="E217" s="31">
        <f>SUM(E218:E219)</f>
        <v>4902390.570797164</v>
      </c>
      <c r="F217" s="32"/>
      <c r="G217" s="28"/>
      <c r="H217" s="28"/>
    </row>
    <row r="218" spans="2:18">
      <c r="C218" s="30" t="s">
        <v>154</v>
      </c>
      <c r="D218" s="31">
        <v>14154</v>
      </c>
      <c r="E218" s="31">
        <f>D218*F218</f>
        <v>2257709.251612646</v>
      </c>
      <c r="F218" s="32">
        <f>E216/D216</f>
        <v>159.51033288205781</v>
      </c>
      <c r="G218" s="28"/>
      <c r="H218" s="28"/>
    </row>
    <row r="219" spans="2:18">
      <c r="C219" s="30" t="s">
        <v>155</v>
      </c>
      <c r="D219" s="31">
        <v>16580</v>
      </c>
      <c r="E219" s="31">
        <f>F218*D219</f>
        <v>2644681.3191845184</v>
      </c>
      <c r="F219" s="32"/>
      <c r="G219" s="28"/>
      <c r="H219" s="28"/>
    </row>
    <row r="220" spans="2:18" ht="28.8">
      <c r="C220" s="34" t="s">
        <v>156</v>
      </c>
      <c r="D220" s="31">
        <v>21877</v>
      </c>
      <c r="E220" s="31">
        <f>D220*F218</f>
        <v>3489607.5524607785</v>
      </c>
      <c r="F220" s="32"/>
      <c r="G220" s="28"/>
      <c r="H220" s="28"/>
    </row>
    <row r="221" spans="2:18">
      <c r="C221" s="28"/>
      <c r="D221" s="28"/>
      <c r="E221" s="28"/>
      <c r="F221" s="28"/>
      <c r="G221" s="28"/>
      <c r="H221" s="28"/>
    </row>
    <row r="222" spans="2:18">
      <c r="C222" s="35" t="s">
        <v>157</v>
      </c>
      <c r="D222" s="35"/>
      <c r="E222" s="28"/>
      <c r="F222" s="36">
        <f>D217/D216*100</f>
        <v>61.188978259138324</v>
      </c>
      <c r="G222" s="28"/>
      <c r="H222" s="28"/>
    </row>
    <row r="223" spans="2:18">
      <c r="C223" s="35" t="s">
        <v>158</v>
      </c>
      <c r="D223" s="35"/>
      <c r="E223" s="28"/>
      <c r="F223" s="36">
        <f>D220/D216*100</f>
        <v>43.555387433304134</v>
      </c>
      <c r="G223" s="28"/>
      <c r="H223" s="28"/>
    </row>
    <row r="224" spans="2:18">
      <c r="C224" s="28"/>
      <c r="D224" s="28"/>
      <c r="E224" s="28"/>
      <c r="F224" s="28"/>
      <c r="G224" s="28"/>
      <c r="H224" s="28"/>
      <c r="Q224" s="28"/>
      <c r="R224" s="28"/>
    </row>
    <row r="225" spans="2:18" ht="22.2">
      <c r="B225" s="29" t="s">
        <v>149</v>
      </c>
      <c r="C225" s="72">
        <f>C227*J3</f>
        <v>4813253.2</v>
      </c>
      <c r="D225" s="19">
        <f>C227*J2</f>
        <v>8184583</v>
      </c>
      <c r="E225" s="28"/>
      <c r="J225" s="28"/>
      <c r="K225" s="28"/>
      <c r="L225" s="28"/>
      <c r="Q225" s="28"/>
      <c r="R225" s="28"/>
    </row>
    <row r="226" spans="2:18">
      <c r="B226" s="28"/>
      <c r="C226" s="30" t="s">
        <v>150</v>
      </c>
      <c r="D226" s="30" t="s">
        <v>151</v>
      </c>
      <c r="E226" s="30" t="s">
        <v>102</v>
      </c>
      <c r="J226" s="28"/>
      <c r="K226" s="28"/>
      <c r="L226" s="28"/>
      <c r="Q226" s="28"/>
      <c r="R226" s="28"/>
    </row>
    <row r="227" spans="2:18">
      <c r="B227" s="30" t="s">
        <v>152</v>
      </c>
      <c r="C227" s="31">
        <v>51314</v>
      </c>
      <c r="D227" s="31">
        <f>C227*J2</f>
        <v>8184583</v>
      </c>
      <c r="E227" s="32"/>
      <c r="J227" s="28"/>
      <c r="K227" s="28"/>
      <c r="L227" s="28"/>
      <c r="Q227" s="28"/>
      <c r="R227" s="28"/>
    </row>
    <row r="228" spans="2:18">
      <c r="B228" s="30" t="s">
        <v>153</v>
      </c>
      <c r="C228" s="31">
        <f>C229+C230</f>
        <v>30396</v>
      </c>
      <c r="D228" s="31">
        <f>SUM(D229:D230)</f>
        <v>4848476.0782830287</v>
      </c>
      <c r="E228" s="32"/>
      <c r="J228" s="28"/>
      <c r="K228" s="28"/>
      <c r="L228" s="28"/>
      <c r="Q228" s="28"/>
      <c r="R228" s="28"/>
    </row>
    <row r="229" spans="2:18">
      <c r="B229" s="30" t="s">
        <v>154</v>
      </c>
      <c r="C229" s="31">
        <v>13794</v>
      </c>
      <c r="D229" s="31">
        <f>C229*E229</f>
        <v>2200285.5317751053</v>
      </c>
      <c r="E229" s="32">
        <f>E216/D216</f>
        <v>159.51033288205781</v>
      </c>
      <c r="J229" s="28"/>
      <c r="K229" s="28"/>
      <c r="L229" s="28"/>
      <c r="Q229" s="28"/>
      <c r="R229" s="28"/>
    </row>
    <row r="230" spans="2:18">
      <c r="B230" s="30" t="s">
        <v>155</v>
      </c>
      <c r="C230" s="31">
        <v>16602</v>
      </c>
      <c r="D230" s="31">
        <f>E229*C230</f>
        <v>2648190.5465079239</v>
      </c>
      <c r="E230" s="32"/>
      <c r="J230" s="28"/>
      <c r="K230" s="28"/>
      <c r="L230" s="28"/>
      <c r="Q230" s="28"/>
      <c r="R230" s="28"/>
    </row>
    <row r="231" spans="2:18" ht="28.8">
      <c r="B231" s="34" t="s">
        <v>156</v>
      </c>
      <c r="C231" s="31">
        <v>22628</v>
      </c>
      <c r="D231" s="31">
        <f>C231*E229</f>
        <v>3609399.8124552043</v>
      </c>
      <c r="E231" s="32"/>
      <c r="J231" s="28"/>
      <c r="K231" s="28"/>
      <c r="L231" s="28"/>
      <c r="Q231" s="28"/>
      <c r="R231" s="28"/>
    </row>
    <row r="232" spans="2:18">
      <c r="B232" s="35" t="s">
        <v>157</v>
      </c>
      <c r="C232" s="35"/>
      <c r="D232" s="28"/>
      <c r="E232" s="36">
        <f>C228/C227*100</f>
        <v>59.23529641033636</v>
      </c>
      <c r="J232" s="28"/>
      <c r="K232" s="28"/>
      <c r="L232" s="28"/>
      <c r="Q232" s="28"/>
      <c r="R232" s="28"/>
    </row>
    <row r="233" spans="2:18">
      <c r="B233" s="35" t="s">
        <v>158</v>
      </c>
      <c r="C233" s="35"/>
      <c r="D233" s="28"/>
      <c r="E233" s="36">
        <f>C231/C227*100</f>
        <v>44.097127489573992</v>
      </c>
      <c r="F233" s="28"/>
      <c r="G233" s="28"/>
      <c r="H233" s="28"/>
      <c r="I233" s="28"/>
      <c r="J233" s="28"/>
      <c r="K233" s="28"/>
      <c r="L233" s="28"/>
      <c r="Q233" s="28"/>
      <c r="R233" s="28"/>
    </row>
    <row r="234" spans="2:18">
      <c r="F234" s="28"/>
      <c r="G234" s="28"/>
      <c r="H234" s="28"/>
      <c r="I234" s="28"/>
      <c r="J234" s="28"/>
      <c r="K234" s="28"/>
      <c r="L234" s="28"/>
      <c r="Q234" s="28"/>
      <c r="R234" s="28"/>
    </row>
    <row r="235" spans="2:18">
      <c r="B235" s="28"/>
      <c r="C235" s="28"/>
      <c r="D235" s="28"/>
      <c r="E235" s="28"/>
      <c r="F235" s="28"/>
      <c r="G235" s="28"/>
      <c r="H235" s="28"/>
      <c r="I235" s="28"/>
      <c r="J235" s="28"/>
      <c r="K235" s="28"/>
      <c r="L235" s="28"/>
      <c r="Q235" s="28"/>
      <c r="R235" s="28"/>
    </row>
    <row r="236" spans="2:18">
      <c r="B236" s="28"/>
      <c r="C236" s="28"/>
      <c r="D236" s="28"/>
      <c r="E236" s="28"/>
      <c r="F236" s="28"/>
      <c r="G236" s="28"/>
      <c r="H236" s="28"/>
      <c r="I236" s="28"/>
      <c r="J236" s="28"/>
      <c r="K236" s="28"/>
      <c r="L236" s="28"/>
      <c r="Q236" s="28"/>
      <c r="R236" s="28"/>
    </row>
    <row r="237" spans="2:18">
      <c r="B237" s="28"/>
      <c r="C237" s="15" t="s">
        <v>87</v>
      </c>
      <c r="D237" s="15" t="s">
        <v>86</v>
      </c>
      <c r="F237" s="28"/>
      <c r="G237" s="28"/>
      <c r="H237" s="28"/>
      <c r="I237" s="28"/>
      <c r="J237" s="28"/>
      <c r="K237" s="28"/>
      <c r="L237" s="28"/>
      <c r="Q237" s="28"/>
      <c r="R237" s="28"/>
    </row>
    <row r="238" spans="2:18" ht="22.2">
      <c r="B238" s="29" t="s">
        <v>160</v>
      </c>
      <c r="C238" s="19">
        <f>C240*J3</f>
        <v>716913.4</v>
      </c>
      <c r="D238" s="19">
        <f>C240*J2</f>
        <v>1219058.5</v>
      </c>
      <c r="E238" s="28"/>
      <c r="F238" s="28"/>
      <c r="G238" s="28"/>
      <c r="H238" s="28"/>
      <c r="I238" s="28"/>
      <c r="J238" s="28"/>
      <c r="K238" s="28"/>
      <c r="L238" s="28"/>
      <c r="Q238" s="28"/>
      <c r="R238" s="28"/>
    </row>
    <row r="239" spans="2:18">
      <c r="B239" s="28"/>
      <c r="C239" s="30" t="s">
        <v>150</v>
      </c>
      <c r="D239" s="30" t="s">
        <v>151</v>
      </c>
      <c r="E239" s="30" t="s">
        <v>102</v>
      </c>
      <c r="F239" s="28"/>
      <c r="G239" s="28"/>
      <c r="H239" s="28"/>
      <c r="I239" s="28"/>
      <c r="J239" s="28"/>
      <c r="K239" s="28"/>
      <c r="L239" s="28"/>
      <c r="Q239" s="28"/>
      <c r="R239" s="28"/>
    </row>
    <row r="240" spans="2:18">
      <c r="B240" s="30" t="s">
        <v>152</v>
      </c>
      <c r="C240" s="31">
        <v>7643</v>
      </c>
      <c r="D240" s="31">
        <f>C240*J2</f>
        <v>1219058.5</v>
      </c>
      <c r="E240" s="32"/>
      <c r="F240" s="28"/>
      <c r="G240" s="28"/>
      <c r="H240" s="28"/>
      <c r="I240" s="28"/>
      <c r="J240" s="28"/>
      <c r="K240" s="28"/>
      <c r="L240" s="28"/>
      <c r="Q240" s="28"/>
      <c r="R240" s="28"/>
    </row>
    <row r="241" spans="2:18">
      <c r="B241" s="30" t="s">
        <v>153</v>
      </c>
      <c r="C241" s="31">
        <f>C242+C243</f>
        <v>0</v>
      </c>
      <c r="D241" s="31" t="s">
        <v>344</v>
      </c>
      <c r="E241" s="32"/>
      <c r="F241" s="28"/>
      <c r="G241" s="28"/>
      <c r="H241" s="28"/>
      <c r="I241" s="28"/>
      <c r="J241" s="28"/>
      <c r="K241" s="28"/>
      <c r="L241" s="28"/>
      <c r="Q241" s="28"/>
      <c r="R241" s="28"/>
    </row>
    <row r="242" spans="2:18">
      <c r="B242" s="30" t="s">
        <v>154</v>
      </c>
      <c r="C242" s="33"/>
      <c r="D242" s="33"/>
      <c r="E242" s="32">
        <f>E216/D216</f>
        <v>159.51033288205781</v>
      </c>
      <c r="F242" s="28"/>
      <c r="G242" s="28"/>
      <c r="H242" s="28"/>
      <c r="I242" s="28"/>
      <c r="J242" s="28"/>
      <c r="K242" s="28"/>
      <c r="L242" s="28"/>
      <c r="Q242" s="28"/>
      <c r="R242" s="28"/>
    </row>
    <row r="243" spans="2:18">
      <c r="B243" s="30" t="s">
        <v>155</v>
      </c>
      <c r="C243" s="31"/>
      <c r="D243" s="31">
        <f>E242*C243</f>
        <v>0</v>
      </c>
      <c r="E243" s="32"/>
      <c r="F243" s="28"/>
      <c r="G243" s="28"/>
      <c r="H243" s="28"/>
      <c r="I243" s="28"/>
      <c r="J243" s="28"/>
      <c r="K243" s="28"/>
      <c r="L243" s="28"/>
      <c r="Q243" s="28"/>
      <c r="R243" s="28"/>
    </row>
    <row r="244" spans="2:18" ht="28.8">
      <c r="B244" s="34" t="s">
        <v>156</v>
      </c>
      <c r="C244" s="31">
        <v>7643</v>
      </c>
      <c r="D244" s="31">
        <f>C244*E242</f>
        <v>1219137.4742175678</v>
      </c>
      <c r="E244" s="32"/>
      <c r="F244" s="28"/>
      <c r="G244" s="28"/>
      <c r="H244" s="28"/>
      <c r="I244" s="28"/>
      <c r="J244" s="28"/>
      <c r="K244" s="28"/>
      <c r="L244" s="28"/>
      <c r="Q244" s="28"/>
      <c r="R244" s="28"/>
    </row>
    <row r="245" spans="2:18">
      <c r="B245" s="28"/>
      <c r="C245" s="28"/>
      <c r="D245" s="28"/>
      <c r="E245" s="28"/>
      <c r="F245" s="28"/>
      <c r="G245" s="28"/>
      <c r="H245" s="28"/>
      <c r="I245" s="28"/>
      <c r="J245" s="28"/>
      <c r="K245" s="28"/>
      <c r="L245" s="28"/>
      <c r="Q245" s="28"/>
      <c r="R245" s="28"/>
    </row>
    <row r="246" spans="2:18">
      <c r="B246" s="28"/>
      <c r="C246" s="28"/>
      <c r="D246" s="28"/>
      <c r="E246" s="28"/>
      <c r="F246" s="28"/>
      <c r="G246" s="28"/>
      <c r="H246" s="28"/>
      <c r="I246" s="28"/>
      <c r="J246" s="28"/>
      <c r="K246" s="28"/>
      <c r="L246" s="28"/>
      <c r="Q246" s="28"/>
      <c r="R246" s="28"/>
    </row>
    <row r="247" spans="2:18">
      <c r="B247" s="28"/>
      <c r="C247" s="28"/>
      <c r="D247" s="28"/>
      <c r="E247" s="28"/>
      <c r="F247" s="28"/>
      <c r="G247" s="28"/>
      <c r="H247" s="28"/>
      <c r="I247" s="28"/>
      <c r="J247" s="28"/>
      <c r="K247" s="28"/>
      <c r="L247" s="28"/>
      <c r="Q247" s="28"/>
      <c r="R247" s="28"/>
    </row>
    <row r="248" spans="2:18">
      <c r="C248" s="28"/>
      <c r="D248" s="28"/>
      <c r="E248" s="28"/>
      <c r="F248" s="28"/>
      <c r="G248" s="28"/>
      <c r="H248" s="28"/>
      <c r="I248" s="28"/>
      <c r="J248" s="28"/>
      <c r="K248" s="28"/>
      <c r="L248" s="28"/>
      <c r="Q248" s="28"/>
      <c r="R248" s="28"/>
    </row>
    <row r="249" spans="2:18">
      <c r="C249" s="28"/>
      <c r="D249" s="28"/>
      <c r="E249" s="28"/>
      <c r="F249" s="28"/>
      <c r="G249" s="28"/>
      <c r="H249" s="28"/>
      <c r="I249" s="28"/>
      <c r="J249" s="28"/>
      <c r="K249" s="28"/>
      <c r="L249" s="28"/>
      <c r="Q249" s="28"/>
      <c r="R249" s="28"/>
    </row>
    <row r="250" spans="2:18">
      <c r="C250" s="28"/>
      <c r="D250" s="28"/>
      <c r="E250" s="28"/>
      <c r="F250" s="28"/>
      <c r="G250" s="28"/>
      <c r="H250" s="28"/>
      <c r="I250" s="28"/>
      <c r="J250" s="28"/>
      <c r="K250" s="28"/>
      <c r="L250" s="28"/>
      <c r="Q250" s="28"/>
      <c r="R250" s="28"/>
    </row>
    <row r="251" spans="2:18">
      <c r="C251" s="28"/>
      <c r="D251" s="28"/>
      <c r="E251" s="28"/>
      <c r="F251" s="28"/>
      <c r="G251" s="28"/>
      <c r="H251" s="28"/>
      <c r="I251" s="28"/>
      <c r="J251" s="28"/>
      <c r="K251" s="28"/>
      <c r="L251" s="28"/>
      <c r="Q251" s="28"/>
      <c r="R251" s="28"/>
    </row>
    <row r="252" spans="2:18">
      <c r="C252" s="28"/>
      <c r="D252" s="28"/>
      <c r="E252" s="28"/>
      <c r="F252" s="28"/>
      <c r="G252" s="28"/>
      <c r="H252" s="28"/>
      <c r="I252" s="28"/>
      <c r="J252" s="28"/>
      <c r="K252" s="28"/>
      <c r="L252" s="28"/>
      <c r="M252" s="28"/>
      <c r="N252" s="28"/>
      <c r="O252" s="28"/>
      <c r="P252" s="28"/>
      <c r="Q252" s="28"/>
      <c r="R252" s="28"/>
    </row>
    <row r="253" spans="2:18" ht="25.8">
      <c r="B253" s="73" t="s">
        <v>345</v>
      </c>
    </row>
    <row r="254" spans="2:18" ht="33.6">
      <c r="B254" s="68" t="s">
        <v>341</v>
      </c>
      <c r="C254" s="69" t="s">
        <v>342</v>
      </c>
      <c r="D254" s="70" t="s">
        <v>89</v>
      </c>
      <c r="E254" s="70" t="s">
        <v>87</v>
      </c>
      <c r="F254" s="70" t="s">
        <v>86</v>
      </c>
    </row>
    <row r="255" spans="2:18" ht="33.6">
      <c r="B255" s="65"/>
      <c r="C255" s="66" t="s">
        <v>343</v>
      </c>
      <c r="D255" s="67">
        <f>F11+F38+E53+H64+F71+F75+F79+H100+H108+H117+H121+F127+H147+H152+H156+H162+H169+H176+H185+H212+D216+C227+C240</f>
        <v>1701969.6965682101</v>
      </c>
      <c r="E255" s="67">
        <f>D11+E38+F53+F64+D71+D75+D79+G100+G108+G117+G121+G127+F139+F147+G152+F156+G162+G169+F176+F185+I212+D214+C225+C238</f>
        <v>179489807.7702353</v>
      </c>
      <c r="F255" s="67">
        <f>E11+D38+G53+G64+E71+E75+E79+F100+F108+F117+F121+H127+G139+G147+F152+G156+F162+F169+G176+G185+J212+E214+D225+D238</f>
        <v>271818322.42508531</v>
      </c>
      <c r="I255" s="66"/>
    </row>
    <row r="256" spans="2:18" ht="33.6">
      <c r="B256" s="65"/>
      <c r="C256" s="65"/>
      <c r="D256" s="65" t="s">
        <v>140</v>
      </c>
      <c r="E256" s="74"/>
      <c r="F256" s="65"/>
    </row>
    <row r="258" spans="2:8" ht="19.8">
      <c r="B258" s="17"/>
      <c r="C258" s="17"/>
    </row>
    <row r="259" spans="2:8" ht="19.8">
      <c r="B259" s="17"/>
      <c r="C259" s="17"/>
    </row>
    <row r="260" spans="2:8" ht="19.8">
      <c r="B260" s="54" t="s">
        <v>313</v>
      </c>
      <c r="C260" s="17"/>
      <c r="H260" t="s">
        <v>337</v>
      </c>
    </row>
    <row r="261" spans="2:8" ht="19.8">
      <c r="B261" s="62" t="s">
        <v>330</v>
      </c>
      <c r="C261" s="17"/>
      <c r="D261" s="62" t="s">
        <v>331</v>
      </c>
      <c r="G261" s="13" t="s">
        <v>332</v>
      </c>
      <c r="H261" s="14">
        <v>67430317</v>
      </c>
    </row>
    <row r="262" spans="2:8" ht="19.8">
      <c r="B262" s="63" t="s">
        <v>240</v>
      </c>
      <c r="C262" s="63" t="s">
        <v>314</v>
      </c>
      <c r="D262" s="63" t="s">
        <v>240</v>
      </c>
      <c r="E262" s="63" t="s">
        <v>314</v>
      </c>
      <c r="G262" s="13" t="s">
        <v>333</v>
      </c>
      <c r="H262" s="14">
        <v>10400000</v>
      </c>
    </row>
    <row r="263" spans="2:8" ht="19.8">
      <c r="B263" s="64" t="s">
        <v>87</v>
      </c>
      <c r="C263" s="64" t="s">
        <v>375</v>
      </c>
      <c r="D263" s="64" t="s">
        <v>87</v>
      </c>
      <c r="E263" s="64" t="s">
        <v>376</v>
      </c>
      <c r="G263" s="13" t="s">
        <v>334</v>
      </c>
      <c r="H263" s="14">
        <f>3735000*J4</f>
        <v>6349500</v>
      </c>
    </row>
    <row r="264" spans="2:8" ht="19.8">
      <c r="B264" s="64" t="s">
        <v>89</v>
      </c>
      <c r="C264" s="64" t="s">
        <v>351</v>
      </c>
      <c r="D264" s="64" t="s">
        <v>89</v>
      </c>
      <c r="E264" s="64" t="s">
        <v>339</v>
      </c>
      <c r="G264" s="13" t="s">
        <v>335</v>
      </c>
      <c r="H264" s="14">
        <f>1495000*J4</f>
        <v>2541500</v>
      </c>
    </row>
    <row r="265" spans="2:8" ht="19.8">
      <c r="B265" s="64" t="s">
        <v>86</v>
      </c>
      <c r="C265" s="64" t="s">
        <v>327</v>
      </c>
      <c r="D265" s="64" t="s">
        <v>86</v>
      </c>
      <c r="E265" s="64" t="s">
        <v>338</v>
      </c>
      <c r="G265" s="64" t="s">
        <v>336</v>
      </c>
      <c r="H265" s="14">
        <f>SUM(H261:H264)</f>
        <v>86721317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A0FF7-92DB-4089-8613-B2EA17D38938}">
  <dimension ref="B2:C213"/>
  <sheetViews>
    <sheetView workbookViewId="0">
      <selection activeCell="A2" sqref="A2:IV213"/>
    </sheetView>
  </sheetViews>
  <sheetFormatPr defaultRowHeight="14.4"/>
  <sheetData>
    <row r="2" spans="2:3" ht="32.4">
      <c r="B2" s="53" t="s">
        <v>229</v>
      </c>
    </row>
    <row r="5" spans="2:3" ht="19.8">
      <c r="B5" s="54" t="s">
        <v>230</v>
      </c>
      <c r="C5" s="17"/>
    </row>
    <row r="6" spans="2:3" ht="19.8">
      <c r="B6" s="17"/>
      <c r="C6" s="17"/>
    </row>
    <row r="7" spans="2:3" ht="19.8">
      <c r="B7" s="54" t="s">
        <v>83</v>
      </c>
      <c r="C7" s="17"/>
    </row>
    <row r="8" spans="2:3" ht="19.8">
      <c r="B8" s="17"/>
      <c r="C8" s="17"/>
    </row>
    <row r="9" spans="2:3" ht="19.8">
      <c r="B9" s="17" t="s">
        <v>231</v>
      </c>
      <c r="C9" s="17"/>
    </row>
    <row r="10" spans="2:3" ht="19.8">
      <c r="B10" s="54" t="s">
        <v>232</v>
      </c>
      <c r="C10" s="17"/>
    </row>
    <row r="11" spans="2:3" ht="19.8">
      <c r="B11" s="54" t="s">
        <v>233</v>
      </c>
      <c r="C11" s="17"/>
    </row>
    <row r="12" spans="2:3" ht="19.8">
      <c r="B12" s="54" t="s">
        <v>234</v>
      </c>
      <c r="C12" s="17"/>
    </row>
    <row r="13" spans="2:3" ht="19.8">
      <c r="B13" s="17"/>
      <c r="C13" s="17"/>
    </row>
    <row r="14" spans="2:3" ht="19.8">
      <c r="B14" s="54" t="s">
        <v>235</v>
      </c>
      <c r="C14" s="17"/>
    </row>
    <row r="15" spans="2:3" ht="19.8">
      <c r="B15" s="17"/>
      <c r="C15" s="17"/>
    </row>
    <row r="16" spans="2:3" ht="19.8">
      <c r="B16" s="17" t="s">
        <v>231</v>
      </c>
      <c r="C16" s="17"/>
    </row>
    <row r="17" spans="2:3" ht="19.8">
      <c r="B17" s="54" t="s">
        <v>236</v>
      </c>
      <c r="C17" s="17"/>
    </row>
    <row r="18" spans="2:3" ht="19.8">
      <c r="B18" s="54" t="s">
        <v>237</v>
      </c>
      <c r="C18" s="17"/>
    </row>
    <row r="19" spans="2:3" ht="19.8">
      <c r="B19" s="54" t="s">
        <v>238</v>
      </c>
      <c r="C19" s="17"/>
    </row>
    <row r="20" spans="2:3" ht="19.8">
      <c r="B20" s="17"/>
      <c r="C20" s="17"/>
    </row>
    <row r="21" spans="2:3" ht="19.8">
      <c r="B21" s="54" t="s">
        <v>239</v>
      </c>
      <c r="C21" s="17"/>
    </row>
    <row r="22" spans="2:3" ht="19.8">
      <c r="B22" s="17"/>
      <c r="C22" s="17"/>
    </row>
    <row r="23" spans="2:3" ht="39.6">
      <c r="B23" s="55" t="s">
        <v>240</v>
      </c>
      <c r="C23" s="55" t="s">
        <v>241</v>
      </c>
    </row>
    <row r="24" spans="2:3" ht="19.8">
      <c r="B24" s="56" t="s">
        <v>87</v>
      </c>
      <c r="C24" s="57">
        <v>68423343</v>
      </c>
    </row>
    <row r="25" spans="2:3" ht="19.8">
      <c r="B25" s="56" t="s">
        <v>86</v>
      </c>
      <c r="C25" s="57">
        <v>116319683</v>
      </c>
    </row>
    <row r="26" spans="2:3" ht="19.8">
      <c r="B26" s="56" t="s">
        <v>89</v>
      </c>
      <c r="C26" s="57">
        <v>729460</v>
      </c>
    </row>
    <row r="27" spans="2:3" ht="19.8">
      <c r="B27" s="17"/>
      <c r="C27" s="17"/>
    </row>
    <row r="28" spans="2:3" ht="19.8">
      <c r="B28" s="17"/>
      <c r="C28" s="17"/>
    </row>
    <row r="29" spans="2:3" ht="19.8">
      <c r="B29" s="54" t="s">
        <v>242</v>
      </c>
      <c r="C29" s="17"/>
    </row>
    <row r="30" spans="2:3" ht="19.8">
      <c r="B30" s="17"/>
      <c r="C30" s="17"/>
    </row>
    <row r="31" spans="2:3" ht="19.8">
      <c r="B31" s="17" t="s">
        <v>243</v>
      </c>
      <c r="C31" s="17"/>
    </row>
    <row r="32" spans="2:3" ht="19.8">
      <c r="B32" s="17"/>
      <c r="C32" s="17"/>
    </row>
    <row r="33" spans="2:3" ht="19.8">
      <c r="B33" s="54" t="s">
        <v>244</v>
      </c>
      <c r="C33" s="17"/>
    </row>
    <row r="34" spans="2:3" ht="19.8">
      <c r="B34" s="17"/>
      <c r="C34" s="17"/>
    </row>
    <row r="35" spans="2:3" ht="19.8">
      <c r="B35" s="54" t="s">
        <v>245</v>
      </c>
      <c r="C35" s="17"/>
    </row>
    <row r="36" spans="2:3" ht="19.8">
      <c r="B36" s="54" t="s">
        <v>246</v>
      </c>
      <c r="C36" s="17"/>
    </row>
    <row r="37" spans="2:3" ht="19.8">
      <c r="B37" s="54" t="s">
        <v>247</v>
      </c>
      <c r="C37" s="17"/>
    </row>
    <row r="38" spans="2:3" ht="19.8">
      <c r="B38" s="17"/>
      <c r="C38" s="17"/>
    </row>
    <row r="39" spans="2:3" ht="19.8">
      <c r="B39" s="54" t="s">
        <v>248</v>
      </c>
      <c r="C39" s="17"/>
    </row>
    <row r="40" spans="2:3" ht="19.8">
      <c r="B40" s="17"/>
      <c r="C40" s="17"/>
    </row>
    <row r="41" spans="2:3" ht="19.8">
      <c r="B41" s="54" t="s">
        <v>249</v>
      </c>
      <c r="C41" s="17"/>
    </row>
    <row r="42" spans="2:3" ht="19.8">
      <c r="B42" s="54" t="s">
        <v>250</v>
      </c>
      <c r="C42" s="17"/>
    </row>
    <row r="43" spans="2:3" ht="19.8">
      <c r="B43" s="54" t="s">
        <v>251</v>
      </c>
      <c r="C43" s="17"/>
    </row>
    <row r="44" spans="2:3" ht="19.8">
      <c r="B44" s="17"/>
      <c r="C44" s="17"/>
    </row>
    <row r="45" spans="2:3" ht="19.8">
      <c r="B45" s="54" t="s">
        <v>252</v>
      </c>
      <c r="C45" s="17"/>
    </row>
    <row r="46" spans="2:3" ht="19.8">
      <c r="B46" s="17"/>
      <c r="C46" s="17"/>
    </row>
    <row r="47" spans="2:3" ht="19.8">
      <c r="B47" s="17" t="s">
        <v>253</v>
      </c>
      <c r="C47" s="17"/>
    </row>
    <row r="48" spans="2:3" ht="19.8">
      <c r="B48" s="17"/>
      <c r="C48" s="17"/>
    </row>
    <row r="49" spans="2:3" ht="19.8">
      <c r="B49" s="54" t="s">
        <v>254</v>
      </c>
      <c r="C49" s="17"/>
    </row>
    <row r="50" spans="2:3" ht="19.8">
      <c r="B50" s="17" t="s">
        <v>255</v>
      </c>
      <c r="C50" s="17"/>
    </row>
    <row r="51" spans="2:3" ht="19.8">
      <c r="B51" s="17" t="s">
        <v>256</v>
      </c>
      <c r="C51" s="17"/>
    </row>
    <row r="52" spans="2:3" ht="19.8">
      <c r="B52" s="17" t="s">
        <v>257</v>
      </c>
      <c r="C52" s="17"/>
    </row>
    <row r="53" spans="2:3" ht="19.8">
      <c r="B53" s="17"/>
      <c r="C53" s="17"/>
    </row>
    <row r="54" spans="2:3" ht="19.8">
      <c r="B54" s="54" t="s">
        <v>258</v>
      </c>
      <c r="C54" s="17"/>
    </row>
    <row r="55" spans="2:3" ht="19.8">
      <c r="B55" s="17"/>
      <c r="C55" s="17"/>
    </row>
    <row r="56" spans="2:3" ht="19.8">
      <c r="B56" s="17" t="s">
        <v>315</v>
      </c>
      <c r="C56" s="17"/>
    </row>
    <row r="57" spans="2:3" ht="19.8">
      <c r="B57" s="17" t="s">
        <v>316</v>
      </c>
      <c r="C57" s="17"/>
    </row>
    <row r="58" spans="2:3" ht="19.8">
      <c r="B58" s="17" t="s">
        <v>317</v>
      </c>
      <c r="C58" s="17"/>
    </row>
    <row r="59" spans="2:3" ht="19.8">
      <c r="B59" s="17"/>
      <c r="C59" s="17"/>
    </row>
    <row r="60" spans="2:3" ht="19.8">
      <c r="B60" s="17"/>
      <c r="C60" s="17"/>
    </row>
    <row r="61" spans="2:3" ht="19.8">
      <c r="B61" s="17"/>
      <c r="C61" s="17"/>
    </row>
    <row r="62" spans="2:3" ht="19.8">
      <c r="B62" s="54" t="s">
        <v>259</v>
      </c>
      <c r="C62" s="17"/>
    </row>
    <row r="63" spans="2:3" ht="19.8">
      <c r="B63" s="17"/>
      <c r="C63" s="17"/>
    </row>
    <row r="64" spans="2:3" ht="39.6">
      <c r="B64" s="55" t="s">
        <v>240</v>
      </c>
      <c r="C64" s="55" t="s">
        <v>241</v>
      </c>
    </row>
    <row r="65" spans="2:3" ht="19.8">
      <c r="B65" s="56" t="s">
        <v>87</v>
      </c>
      <c r="C65" s="57">
        <v>48293512</v>
      </c>
    </row>
    <row r="66" spans="2:3" ht="19.8">
      <c r="B66" s="56" t="s">
        <v>86</v>
      </c>
      <c r="C66" s="58">
        <v>82071987.599999994</v>
      </c>
    </row>
    <row r="67" spans="2:3" ht="19.8">
      <c r="B67" s="56" t="s">
        <v>89</v>
      </c>
      <c r="C67" s="57">
        <v>514558</v>
      </c>
    </row>
    <row r="68" spans="2:3" ht="19.8">
      <c r="B68" s="17"/>
      <c r="C68" s="17"/>
    </row>
    <row r="69" spans="2:3" ht="19.8">
      <c r="B69" s="17"/>
      <c r="C69" s="17"/>
    </row>
    <row r="70" spans="2:3" ht="19.8">
      <c r="B70" s="54" t="s">
        <v>260</v>
      </c>
      <c r="C70" s="17"/>
    </row>
    <row r="71" spans="2:3" ht="19.8">
      <c r="B71" s="17"/>
      <c r="C71" s="17"/>
    </row>
    <row r="72" spans="2:3" ht="19.8">
      <c r="B72" s="17" t="s">
        <v>261</v>
      </c>
      <c r="C72" s="17"/>
    </row>
    <row r="73" spans="2:3" ht="19.8">
      <c r="B73" s="54" t="s">
        <v>262</v>
      </c>
      <c r="C73" s="17"/>
    </row>
    <row r="74" spans="2:3" ht="19.8">
      <c r="B74" s="54" t="s">
        <v>263</v>
      </c>
      <c r="C74" s="17"/>
    </row>
    <row r="75" spans="2:3" ht="19.8">
      <c r="B75" s="54" t="s">
        <v>264</v>
      </c>
      <c r="C75" s="17"/>
    </row>
    <row r="76" spans="2:3" ht="19.8">
      <c r="B76" s="17"/>
      <c r="C76" s="17"/>
    </row>
    <row r="77" spans="2:3" ht="19.8">
      <c r="B77" s="17"/>
      <c r="C77" s="17"/>
    </row>
    <row r="78" spans="2:3" ht="19.8">
      <c r="B78" s="17"/>
      <c r="C78" s="17"/>
    </row>
    <row r="79" spans="2:3" ht="19.8">
      <c r="B79" s="54" t="s">
        <v>265</v>
      </c>
      <c r="C79" s="17"/>
    </row>
    <row r="80" spans="2:3" ht="19.8">
      <c r="B80" s="17"/>
      <c r="C80" s="17"/>
    </row>
    <row r="81" spans="2:3" ht="19.8">
      <c r="B81" s="54" t="s">
        <v>211</v>
      </c>
      <c r="C81" s="17"/>
    </row>
    <row r="82" spans="2:3" ht="19.8">
      <c r="B82" s="17"/>
      <c r="C82" s="17"/>
    </row>
    <row r="83" spans="2:3" ht="19.8">
      <c r="B83" s="17" t="s">
        <v>266</v>
      </c>
      <c r="C83" s="17"/>
    </row>
    <row r="84" spans="2:3" ht="19.8">
      <c r="B84" s="17" t="s">
        <v>267</v>
      </c>
      <c r="C84" s="17"/>
    </row>
    <row r="85" spans="2:3" ht="19.8">
      <c r="B85" s="17" t="s">
        <v>268</v>
      </c>
      <c r="C85" s="17"/>
    </row>
    <row r="86" spans="2:3" ht="19.8">
      <c r="B86" s="17"/>
      <c r="C86" s="17"/>
    </row>
    <row r="87" spans="2:3" ht="19.8">
      <c r="B87" s="54" t="s">
        <v>269</v>
      </c>
      <c r="C87" s="17"/>
    </row>
    <row r="88" spans="2:3" ht="19.8">
      <c r="B88" s="17"/>
      <c r="C88" s="17"/>
    </row>
    <row r="89" spans="2:3" ht="19.8">
      <c r="B89" s="17" t="s">
        <v>270</v>
      </c>
      <c r="C89" s="17"/>
    </row>
    <row r="90" spans="2:3" ht="19.8">
      <c r="B90" s="17" t="s">
        <v>271</v>
      </c>
      <c r="C90" s="17"/>
    </row>
    <row r="91" spans="2:3" ht="19.8">
      <c r="B91" s="17" t="s">
        <v>272</v>
      </c>
      <c r="C91" s="17"/>
    </row>
    <row r="92" spans="2:3" ht="19.8">
      <c r="B92" s="17"/>
      <c r="C92" s="17"/>
    </row>
    <row r="93" spans="2:3" ht="19.8">
      <c r="B93" s="54" t="s">
        <v>222</v>
      </c>
      <c r="C93" s="17"/>
    </row>
    <row r="94" spans="2:3" ht="19.8">
      <c r="B94" s="17"/>
      <c r="C94" s="17"/>
    </row>
    <row r="95" spans="2:3" ht="19.8">
      <c r="B95" s="17" t="s">
        <v>273</v>
      </c>
      <c r="C95" s="17"/>
    </row>
    <row r="96" spans="2:3" ht="19.8">
      <c r="B96" s="17" t="s">
        <v>274</v>
      </c>
      <c r="C96" s="17"/>
    </row>
    <row r="97" spans="2:3" ht="19.8">
      <c r="B97" s="17" t="s">
        <v>275</v>
      </c>
      <c r="C97" s="17"/>
    </row>
    <row r="98" spans="2:3" ht="19.8">
      <c r="B98" s="17"/>
      <c r="C98" s="17"/>
    </row>
    <row r="99" spans="2:3" ht="19.8">
      <c r="B99" s="54" t="s">
        <v>276</v>
      </c>
      <c r="C99" s="17"/>
    </row>
    <row r="100" spans="2:3" ht="19.8">
      <c r="B100" s="17"/>
      <c r="C100" s="17"/>
    </row>
    <row r="101" spans="2:3" ht="19.8">
      <c r="B101" s="17" t="s">
        <v>277</v>
      </c>
      <c r="C101" s="17"/>
    </row>
    <row r="102" spans="2:3" ht="19.8">
      <c r="B102" s="17" t="s">
        <v>278</v>
      </c>
      <c r="C102" s="17"/>
    </row>
    <row r="103" spans="2:3" ht="19.8">
      <c r="B103" s="17" t="s">
        <v>279</v>
      </c>
      <c r="C103" s="17"/>
    </row>
    <row r="104" spans="2:3" ht="19.8">
      <c r="B104" s="17"/>
      <c r="C104" s="17"/>
    </row>
    <row r="105" spans="2:3" ht="19.8">
      <c r="B105" s="54" t="s">
        <v>280</v>
      </c>
      <c r="C105" s="17"/>
    </row>
    <row r="106" spans="2:3" ht="19.8">
      <c r="B106" s="17"/>
      <c r="C106" s="17"/>
    </row>
    <row r="107" spans="2:3" ht="39.6">
      <c r="B107" s="55" t="s">
        <v>240</v>
      </c>
      <c r="C107" s="55" t="s">
        <v>241</v>
      </c>
    </row>
    <row r="108" spans="2:3" ht="19.8">
      <c r="B108" s="56" t="s">
        <v>87</v>
      </c>
      <c r="C108" s="57">
        <v>9814958</v>
      </c>
    </row>
    <row r="109" spans="2:3" ht="19.8">
      <c r="B109" s="56" t="s">
        <v>86</v>
      </c>
      <c r="C109" s="57">
        <v>16690125</v>
      </c>
    </row>
    <row r="110" spans="2:3" ht="19.8">
      <c r="B110" s="56" t="s">
        <v>89</v>
      </c>
      <c r="C110" s="57">
        <v>104615</v>
      </c>
    </row>
    <row r="111" spans="2:3" ht="19.8">
      <c r="B111" s="17"/>
      <c r="C111" s="17"/>
    </row>
    <row r="112" spans="2:3" ht="19.8">
      <c r="B112" s="17"/>
      <c r="C112" s="17"/>
    </row>
    <row r="113" spans="2:3" ht="19.8">
      <c r="B113" s="54" t="s">
        <v>281</v>
      </c>
      <c r="C113" s="17"/>
    </row>
    <row r="114" spans="2:3" ht="19.8">
      <c r="B114" s="17"/>
      <c r="C114" s="17"/>
    </row>
    <row r="115" spans="2:3" ht="19.8">
      <c r="B115" s="54" t="s">
        <v>282</v>
      </c>
      <c r="C115" s="17"/>
    </row>
    <row r="116" spans="2:3" ht="19.8">
      <c r="B116" s="17"/>
      <c r="C116" s="17"/>
    </row>
    <row r="117" spans="2:3" ht="19.8">
      <c r="B117" s="17" t="s">
        <v>283</v>
      </c>
      <c r="C117" s="17"/>
    </row>
    <row r="118" spans="2:3" ht="19.8">
      <c r="B118" s="17" t="s">
        <v>284</v>
      </c>
      <c r="C118" s="17"/>
    </row>
    <row r="119" spans="2:3" ht="19.8">
      <c r="B119" s="17" t="s">
        <v>285</v>
      </c>
      <c r="C119" s="17"/>
    </row>
    <row r="120" spans="2:3" ht="19.8">
      <c r="B120" s="17"/>
      <c r="C120" s="17"/>
    </row>
    <row r="121" spans="2:3" ht="19.8">
      <c r="B121" s="54" t="s">
        <v>286</v>
      </c>
      <c r="C121" s="17"/>
    </row>
    <row r="122" spans="2:3" ht="19.8">
      <c r="B122" s="17"/>
      <c r="C122" s="17"/>
    </row>
    <row r="123" spans="2:3" ht="19.8">
      <c r="B123" s="17" t="s">
        <v>287</v>
      </c>
      <c r="C123" s="17"/>
    </row>
    <row r="124" spans="2:3" ht="19.8">
      <c r="B124" s="17" t="s">
        <v>288</v>
      </c>
      <c r="C124" s="17"/>
    </row>
    <row r="125" spans="2:3" ht="19.8">
      <c r="B125" s="17" t="s">
        <v>289</v>
      </c>
      <c r="C125" s="17"/>
    </row>
    <row r="126" spans="2:3" ht="19.8">
      <c r="B126" s="17"/>
      <c r="C126" s="17"/>
    </row>
    <row r="127" spans="2:3" ht="19.8">
      <c r="B127" s="54" t="s">
        <v>290</v>
      </c>
      <c r="C127" s="17"/>
    </row>
    <row r="128" spans="2:3" ht="19.8">
      <c r="B128" s="17"/>
      <c r="C128" s="17"/>
    </row>
    <row r="129" spans="2:3" ht="19.8">
      <c r="B129" s="17" t="s">
        <v>291</v>
      </c>
      <c r="C129" s="17"/>
    </row>
    <row r="130" spans="2:3" ht="19.8">
      <c r="B130" s="17" t="s">
        <v>292</v>
      </c>
      <c r="C130" s="17"/>
    </row>
    <row r="131" spans="2:3" ht="19.8">
      <c r="B131" s="17" t="s">
        <v>293</v>
      </c>
      <c r="C131" s="17"/>
    </row>
    <row r="132" spans="2:3" ht="19.8">
      <c r="B132" s="17"/>
      <c r="C132" s="17"/>
    </row>
    <row r="133" spans="2:3" ht="19.8">
      <c r="B133" s="54" t="s">
        <v>90</v>
      </c>
      <c r="C133" s="17"/>
    </row>
    <row r="134" spans="2:3" ht="19.8">
      <c r="B134" s="17"/>
      <c r="C134" s="17"/>
    </row>
    <row r="135" spans="2:3" ht="19.8">
      <c r="B135" s="17" t="s">
        <v>318</v>
      </c>
      <c r="C135" s="17"/>
    </row>
    <row r="136" spans="2:3" ht="19.8">
      <c r="B136" s="17"/>
      <c r="C136" s="17"/>
    </row>
    <row r="137" spans="2:3" ht="19.8">
      <c r="B137" s="17" t="s">
        <v>294</v>
      </c>
      <c r="C137" s="17"/>
    </row>
    <row r="138" spans="2:3" ht="19.8">
      <c r="B138" s="17" t="s">
        <v>319</v>
      </c>
      <c r="C138" s="17"/>
    </row>
    <row r="139" spans="2:3" ht="19.8">
      <c r="B139" s="17" t="s">
        <v>320</v>
      </c>
      <c r="C139" s="17"/>
    </row>
    <row r="140" spans="2:3" ht="19.8">
      <c r="B140" s="17"/>
      <c r="C140" s="17"/>
    </row>
    <row r="141" spans="2:3" ht="19.8">
      <c r="B141" s="17"/>
      <c r="C141" s="17"/>
    </row>
    <row r="142" spans="2:3" ht="19.8">
      <c r="B142" s="17"/>
      <c r="C142" s="17"/>
    </row>
    <row r="143" spans="2:3" ht="19.8">
      <c r="B143" s="54" t="s">
        <v>295</v>
      </c>
      <c r="C143" s="17"/>
    </row>
    <row r="144" spans="2:3" ht="19.8">
      <c r="B144" s="17"/>
      <c r="C144" s="17"/>
    </row>
    <row r="145" spans="2:3" ht="39.6">
      <c r="B145" s="55" t="s">
        <v>240</v>
      </c>
      <c r="C145" s="55" t="s">
        <v>241</v>
      </c>
    </row>
    <row r="146" spans="2:3" ht="19.8">
      <c r="B146" s="56" t="s">
        <v>87</v>
      </c>
      <c r="C146" s="57">
        <v>22894098</v>
      </c>
    </row>
    <row r="147" spans="2:3" ht="19.8">
      <c r="B147" s="56" t="s">
        <v>86</v>
      </c>
      <c r="C147" s="57">
        <v>38918768</v>
      </c>
    </row>
    <row r="148" spans="2:3" ht="19.8">
      <c r="B148" s="56" t="s">
        <v>89</v>
      </c>
      <c r="C148" s="57">
        <v>242266</v>
      </c>
    </row>
    <row r="149" spans="2:3" ht="19.8">
      <c r="B149" s="17"/>
      <c r="C149" s="17"/>
    </row>
    <row r="150" spans="2:3" ht="19.8">
      <c r="B150" s="17"/>
      <c r="C150" s="17"/>
    </row>
    <row r="151" spans="2:3" ht="19.8">
      <c r="B151" s="54" t="s">
        <v>296</v>
      </c>
      <c r="C151" s="17"/>
    </row>
    <row r="152" spans="2:3" ht="19.8">
      <c r="B152" s="17"/>
      <c r="C152" s="17"/>
    </row>
    <row r="153" spans="2:3" ht="19.8">
      <c r="B153" s="17" t="s">
        <v>297</v>
      </c>
      <c r="C153" s="17"/>
    </row>
    <row r="154" spans="2:3" ht="19.8">
      <c r="B154" s="54" t="s">
        <v>298</v>
      </c>
      <c r="C154" s="17"/>
    </row>
    <row r="155" spans="2:3" ht="19.8">
      <c r="B155" s="17"/>
      <c r="C155" s="17"/>
    </row>
    <row r="156" spans="2:3" ht="19.8">
      <c r="B156" s="17" t="s">
        <v>299</v>
      </c>
      <c r="C156" s="17"/>
    </row>
    <row r="157" spans="2:3" ht="19.8">
      <c r="B157" s="17" t="s">
        <v>300</v>
      </c>
      <c r="C157" s="17"/>
    </row>
    <row r="158" spans="2:3" ht="19.8">
      <c r="B158" s="17"/>
      <c r="C158" s="17"/>
    </row>
    <row r="159" spans="2:3" ht="19.8">
      <c r="B159" s="17"/>
      <c r="C159" s="17"/>
    </row>
    <row r="160" spans="2:3" ht="19.8">
      <c r="B160" s="17"/>
      <c r="C160" s="17"/>
    </row>
    <row r="161" spans="2:3" ht="19.8">
      <c r="B161" s="54" t="s">
        <v>301</v>
      </c>
      <c r="C161" s="17"/>
    </row>
    <row r="162" spans="2:3" ht="19.8">
      <c r="B162" s="17"/>
      <c r="C162" s="17"/>
    </row>
    <row r="163" spans="2:3" ht="19.8">
      <c r="B163" s="17" t="s">
        <v>302</v>
      </c>
      <c r="C163" s="17"/>
    </row>
    <row r="164" spans="2:3" ht="19.8">
      <c r="B164" s="17"/>
      <c r="C164" s="17"/>
    </row>
    <row r="165" spans="2:3" ht="19.8">
      <c r="B165" s="17"/>
      <c r="C165" s="17"/>
    </row>
    <row r="166" spans="2:3" ht="19.8">
      <c r="B166" s="17"/>
      <c r="C166" s="17"/>
    </row>
    <row r="167" spans="2:3" ht="19.8">
      <c r="B167" s="54" t="s">
        <v>303</v>
      </c>
      <c r="C167" s="17"/>
    </row>
    <row r="168" spans="2:3" ht="19.8">
      <c r="B168" s="17"/>
      <c r="C168" s="17"/>
    </row>
    <row r="169" spans="2:3" ht="39.6">
      <c r="B169" s="55" t="s">
        <v>304</v>
      </c>
      <c r="C169" s="55" t="s">
        <v>87</v>
      </c>
    </row>
    <row r="170" spans="2:3" ht="39.6">
      <c r="B170" s="59" t="s">
        <v>103</v>
      </c>
      <c r="C170" s="60">
        <v>68423343</v>
      </c>
    </row>
    <row r="171" spans="2:3" ht="19.8">
      <c r="B171" s="59" t="s">
        <v>125</v>
      </c>
      <c r="C171" s="60">
        <v>48293512</v>
      </c>
    </row>
    <row r="172" spans="2:3" ht="79.2">
      <c r="B172" s="59" t="s">
        <v>305</v>
      </c>
      <c r="C172" s="60">
        <v>67500</v>
      </c>
    </row>
    <row r="173" spans="2:3" ht="99">
      <c r="B173" s="59" t="s">
        <v>306</v>
      </c>
      <c r="C173" s="60">
        <v>9814958</v>
      </c>
    </row>
    <row r="174" spans="2:3" ht="19.8">
      <c r="B174" s="59" t="s">
        <v>216</v>
      </c>
      <c r="C174" s="60">
        <v>22894098</v>
      </c>
    </row>
    <row r="175" spans="2:3" ht="19.8">
      <c r="B175" s="59" t="s">
        <v>85</v>
      </c>
      <c r="C175" s="60">
        <v>6447778</v>
      </c>
    </row>
    <row r="176" spans="2:3" ht="39.6">
      <c r="B176" s="56" t="s">
        <v>307</v>
      </c>
      <c r="C176" s="56" t="e">
        <f>C193*#REF!</f>
        <v>#REF!</v>
      </c>
    </row>
    <row r="177" spans="2:3" ht="19.8">
      <c r="B177" s="17"/>
      <c r="C177" s="17"/>
    </row>
    <row r="178" spans="2:3" ht="19.8">
      <c r="B178" s="54" t="s">
        <v>322</v>
      </c>
      <c r="C178" s="17"/>
    </row>
    <row r="179" spans="2:3" ht="19.8">
      <c r="B179" s="17"/>
      <c r="C179" s="17"/>
    </row>
    <row r="180" spans="2:3" ht="19.8">
      <c r="B180" s="17" t="s">
        <v>323</v>
      </c>
      <c r="C180" s="17"/>
    </row>
    <row r="181" spans="2:3" ht="19.8">
      <c r="B181" s="17"/>
      <c r="C181" s="17"/>
    </row>
    <row r="182" spans="2:3" ht="19.8">
      <c r="B182" s="17"/>
      <c r="C182" s="17"/>
    </row>
    <row r="183" spans="2:3" ht="19.8">
      <c r="B183" s="17"/>
      <c r="C183" s="17"/>
    </row>
    <row r="184" spans="2:3" ht="19.8">
      <c r="B184" s="54" t="s">
        <v>308</v>
      </c>
      <c r="C184" s="17"/>
    </row>
    <row r="185" spans="2:3" ht="19.8">
      <c r="B185" s="17"/>
      <c r="C185" s="17"/>
    </row>
    <row r="186" spans="2:3" ht="39.6">
      <c r="B186" s="55" t="s">
        <v>304</v>
      </c>
      <c r="C186" s="55" t="s">
        <v>89</v>
      </c>
    </row>
    <row r="187" spans="2:3" ht="39.6">
      <c r="B187" s="59" t="s">
        <v>103</v>
      </c>
      <c r="C187" s="60">
        <v>729460</v>
      </c>
    </row>
    <row r="188" spans="2:3" ht="19.8">
      <c r="B188" s="59" t="s">
        <v>125</v>
      </c>
      <c r="C188" s="60">
        <v>514558</v>
      </c>
    </row>
    <row r="189" spans="2:3" ht="79.2">
      <c r="B189" s="59" t="s">
        <v>305</v>
      </c>
      <c r="C189" s="59">
        <v>750</v>
      </c>
    </row>
    <row r="190" spans="2:3" ht="99">
      <c r="B190" s="59" t="s">
        <v>306</v>
      </c>
      <c r="C190" s="60">
        <v>104615</v>
      </c>
    </row>
    <row r="191" spans="2:3" ht="19.8">
      <c r="B191" s="59" t="s">
        <v>216</v>
      </c>
      <c r="C191" s="60">
        <v>242266</v>
      </c>
    </row>
    <row r="192" spans="2:3" ht="19.8">
      <c r="B192" s="59" t="s">
        <v>85</v>
      </c>
      <c r="C192" s="60">
        <v>68739</v>
      </c>
    </row>
    <row r="193" spans="2:3" ht="39.6">
      <c r="B193" s="56" t="s">
        <v>309</v>
      </c>
      <c r="C193" s="57">
        <v>1682388</v>
      </c>
    </row>
    <row r="194" spans="2:3" ht="19.8">
      <c r="B194" s="17"/>
      <c r="C194" s="17"/>
    </row>
    <row r="195" spans="2:3" ht="19.8">
      <c r="B195" s="54" t="s">
        <v>310</v>
      </c>
      <c r="C195" s="17"/>
    </row>
    <row r="196" spans="2:3" ht="19.8">
      <c r="B196" s="17"/>
      <c r="C196" s="17"/>
    </row>
    <row r="197" spans="2:3" ht="19.8">
      <c r="B197" s="17"/>
      <c r="C197" s="17"/>
    </row>
    <row r="198" spans="2:3" ht="19.8">
      <c r="B198" s="17"/>
      <c r="C198" s="17"/>
    </row>
    <row r="199" spans="2:3" ht="19.8">
      <c r="B199" s="54" t="s">
        <v>311</v>
      </c>
      <c r="C199" s="17"/>
    </row>
    <row r="200" spans="2:3" ht="19.8">
      <c r="B200" s="17"/>
      <c r="C200" s="17"/>
    </row>
    <row r="201" spans="2:3" ht="39.6">
      <c r="B201" s="55" t="s">
        <v>304</v>
      </c>
      <c r="C201" s="55" t="s">
        <v>86</v>
      </c>
    </row>
    <row r="202" spans="2:3" ht="39.6">
      <c r="B202" s="59" t="s">
        <v>103</v>
      </c>
      <c r="C202" s="60">
        <v>116319683</v>
      </c>
    </row>
    <row r="203" spans="2:3" ht="19.8">
      <c r="B203" s="59" t="s">
        <v>125</v>
      </c>
      <c r="C203" s="60">
        <v>82071987</v>
      </c>
    </row>
    <row r="204" spans="2:3" ht="79.2">
      <c r="B204" s="59" t="s">
        <v>305</v>
      </c>
      <c r="C204" s="60">
        <v>114750</v>
      </c>
    </row>
    <row r="205" spans="2:3" ht="99">
      <c r="B205" s="59" t="s">
        <v>306</v>
      </c>
      <c r="C205" s="60">
        <v>16690125</v>
      </c>
    </row>
    <row r="206" spans="2:3" ht="19.8">
      <c r="B206" s="59" t="s">
        <v>216</v>
      </c>
      <c r="C206" s="60">
        <v>38918768</v>
      </c>
    </row>
    <row r="207" spans="2:3" ht="19.8">
      <c r="B207" s="59" t="s">
        <v>85</v>
      </c>
      <c r="C207" s="60">
        <v>10960000</v>
      </c>
    </row>
    <row r="208" spans="2:3" ht="39.6">
      <c r="B208" s="56" t="s">
        <v>312</v>
      </c>
      <c r="C208" s="56" t="e">
        <f>C193*#REF!</f>
        <v>#REF!</v>
      </c>
    </row>
    <row r="209" spans="2:3" ht="19.8">
      <c r="B209" s="17"/>
      <c r="C209" s="17"/>
    </row>
    <row r="210" spans="2:3" ht="19.8">
      <c r="B210" s="54" t="s">
        <v>324</v>
      </c>
      <c r="C210" s="17"/>
    </row>
    <row r="211" spans="2:3" ht="19.8">
      <c r="B211" s="17"/>
      <c r="C211" s="17"/>
    </row>
    <row r="212" spans="2:3" ht="19.8">
      <c r="B212" s="17" t="s">
        <v>325</v>
      </c>
      <c r="C212" s="17"/>
    </row>
    <row r="213" spans="2:3" ht="19.8">
      <c r="B213" s="17"/>
      <c r="C213" s="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BA2BE-48EE-4998-B333-CBBD16764E9D}">
  <sheetPr>
    <tabColor rgb="FF92D050"/>
  </sheetPr>
  <dimension ref="B2:C56"/>
  <sheetViews>
    <sheetView workbookViewId="0">
      <selection activeCell="B105" sqref="B105"/>
    </sheetView>
  </sheetViews>
  <sheetFormatPr defaultRowHeight="14.4"/>
  <sheetData>
    <row r="2" spans="2:2" ht="18">
      <c r="B2" s="6" t="s">
        <v>34</v>
      </c>
    </row>
    <row r="4" spans="2:2">
      <c r="B4" t="s">
        <v>35</v>
      </c>
    </row>
    <row r="5" spans="2:2">
      <c r="B5" t="s">
        <v>36</v>
      </c>
    </row>
    <row r="6" spans="2:2">
      <c r="B6" t="s">
        <v>37</v>
      </c>
    </row>
    <row r="8" spans="2:2">
      <c r="B8" t="s">
        <v>38</v>
      </c>
    </row>
    <row r="10" spans="2:2">
      <c r="B10" t="s">
        <v>39</v>
      </c>
    </row>
    <row r="11" spans="2:2">
      <c r="B11" t="s">
        <v>40</v>
      </c>
    </row>
    <row r="12" spans="2:2">
      <c r="B12" t="s">
        <v>41</v>
      </c>
    </row>
    <row r="13" spans="2:2">
      <c r="B13" t="s">
        <v>42</v>
      </c>
    </row>
    <row r="14" spans="2:2">
      <c r="B14" t="s">
        <v>43</v>
      </c>
    </row>
    <row r="15" spans="2:2">
      <c r="B15" t="s">
        <v>44</v>
      </c>
    </row>
    <row r="17" spans="2:2">
      <c r="B17" s="1" t="s">
        <v>45</v>
      </c>
    </row>
    <row r="19" spans="2:2">
      <c r="B19" t="s">
        <v>46</v>
      </c>
    </row>
    <row r="20" spans="2:2">
      <c r="B20" t="s">
        <v>47</v>
      </c>
    </row>
    <row r="21" spans="2:2">
      <c r="B21" t="s">
        <v>48</v>
      </c>
    </row>
    <row r="22" spans="2:2">
      <c r="B22" t="s">
        <v>63</v>
      </c>
    </row>
    <row r="23" spans="2:2">
      <c r="B23" t="s">
        <v>64</v>
      </c>
    </row>
    <row r="25" spans="2:2">
      <c r="B25" t="s">
        <v>49</v>
      </c>
    </row>
    <row r="26" spans="2:2">
      <c r="B26" t="s">
        <v>50</v>
      </c>
    </row>
    <row r="28" spans="2:2">
      <c r="B28" t="s">
        <v>51</v>
      </c>
    </row>
    <row r="29" spans="2:2">
      <c r="B29" t="s">
        <v>52</v>
      </c>
    </row>
    <row r="31" spans="2:2">
      <c r="B31" t="s">
        <v>53</v>
      </c>
    </row>
    <row r="32" spans="2:2">
      <c r="B32" t="s">
        <v>54</v>
      </c>
    </row>
    <row r="33" spans="2:3">
      <c r="B33" t="s">
        <v>55</v>
      </c>
    </row>
    <row r="34" spans="2:3">
      <c r="B34" t="s">
        <v>56</v>
      </c>
    </row>
    <row r="35" spans="2:3">
      <c r="B35" t="s">
        <v>57</v>
      </c>
    </row>
    <row r="36" spans="2:3">
      <c r="B36" t="s">
        <v>58</v>
      </c>
    </row>
    <row r="37" spans="2:3">
      <c r="B37" t="s">
        <v>59</v>
      </c>
    </row>
    <row r="38" spans="2:3">
      <c r="B38" t="s">
        <v>60</v>
      </c>
    </row>
    <row r="39" spans="2:3">
      <c r="B39" t="s">
        <v>61</v>
      </c>
    </row>
    <row r="40" spans="2:3">
      <c r="B40" t="s">
        <v>62</v>
      </c>
    </row>
    <row r="43" spans="2:3">
      <c r="B43" t="s">
        <v>65</v>
      </c>
    </row>
    <row r="45" spans="2:3">
      <c r="C45" t="s">
        <v>66</v>
      </c>
    </row>
    <row r="46" spans="2:3">
      <c r="C46" t="s">
        <v>67</v>
      </c>
    </row>
    <row r="47" spans="2:3">
      <c r="C47" t="s">
        <v>68</v>
      </c>
    </row>
    <row r="48" spans="2:3">
      <c r="C48" t="s">
        <v>70</v>
      </c>
    </row>
    <row r="49" spans="2:3">
      <c r="C49" t="s">
        <v>69</v>
      </c>
    </row>
    <row r="50" spans="2:3">
      <c r="C50" t="s">
        <v>71</v>
      </c>
    </row>
    <row r="51" spans="2:3">
      <c r="C51" t="s">
        <v>72</v>
      </c>
    </row>
    <row r="52" spans="2:3">
      <c r="C52" t="s">
        <v>73</v>
      </c>
    </row>
    <row r="53" spans="2:3">
      <c r="C53" t="s">
        <v>74</v>
      </c>
    </row>
    <row r="54" spans="2:3">
      <c r="C54" t="s">
        <v>75</v>
      </c>
    </row>
    <row r="56" spans="2:3">
      <c r="B56" t="s">
        <v>35</v>
      </c>
    </row>
  </sheetData>
  <phoneticPr fontId="7"/>
  <hyperlinks>
    <hyperlink ref="B10" r:id="rId1" display="https://www.bankbazaar.com/currency-exchange.html" xr:uid="{45561872-5CFA-492C-80B6-3E555158B673}"/>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C3519-BDE3-43D9-9A8E-100BBFF6AFB2}">
  <sheetPr>
    <tabColor rgb="FF92D050"/>
  </sheetPr>
  <dimension ref="B2:C5"/>
  <sheetViews>
    <sheetView workbookViewId="0">
      <selection activeCell="S23" sqref="S23"/>
    </sheetView>
  </sheetViews>
  <sheetFormatPr defaultRowHeight="14.4"/>
  <sheetData>
    <row r="2" spans="2:3">
      <c r="B2" t="s">
        <v>76</v>
      </c>
    </row>
    <row r="4" spans="2:3">
      <c r="B4" t="s">
        <v>77</v>
      </c>
    </row>
    <row r="5" spans="2:3">
      <c r="C5" t="s">
        <v>78</v>
      </c>
    </row>
  </sheetData>
  <phoneticPr fontId="7"/>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Global Assets (2)</vt:lpstr>
      <vt:lpstr>Global Assets</vt:lpstr>
      <vt:lpstr>Formula</vt:lpstr>
      <vt:lpstr>Global Assets -old</vt:lpstr>
      <vt:lpstr>Sheet1</vt:lpstr>
      <vt:lpstr>USD to INR Forecast</vt:lpstr>
      <vt:lpstr>Buy USA Stocks India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ricardo_castel@outlook.jp</dc:creator>
  <cp:lastModifiedBy>Ricardo Castellino</cp:lastModifiedBy>
  <dcterms:created xsi:type="dcterms:W3CDTF">2024-05-03T21:56:21Z</dcterms:created>
  <dcterms:modified xsi:type="dcterms:W3CDTF">2026-04-29T20:48:33Z</dcterms:modified>
</cp:coreProperties>
</file>